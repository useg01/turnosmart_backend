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napar\Downloads\DOCUMENTOS ACTUALIZADOS\"/>
    </mc:Choice>
  </mc:AlternateContent>
  <xr:revisionPtr revIDLastSave="0" documentId="13_ncr:1_{DC91C555-67E3-4C81-AC99-E4481CD2181D}" xr6:coauthVersionLast="47" xr6:coauthVersionMax="47" xr10:uidLastSave="{00000000-0000-0000-0000-000000000000}"/>
  <bookViews>
    <workbookView xWindow="-108" yWindow="-108" windowWidth="23256" windowHeight="12456" xr2:uid="{00000000-000D-0000-FFFF-FFFF00000000}"/>
  </bookViews>
  <sheets>
    <sheet name="Table 1" sheetId="1" r:id="rId1"/>
    <sheet name="Hoja1" sheetId="4" r:id="rId2"/>
    <sheet name="Costos e Ingresos" sheetId="2" r:id="rId3"/>
    <sheet name="Descripcion Costos e Ingresos" sheetId="3" r:id="rId4"/>
  </sheets>
  <calcPr calcId="181029"/>
</workbook>
</file>

<file path=xl/calcChain.xml><?xml version="1.0" encoding="utf-8"?>
<calcChain xmlns="http://schemas.openxmlformats.org/spreadsheetml/2006/main">
  <c r="E23" i="2" l="1"/>
  <c r="D23" i="2"/>
  <c r="C23" i="2"/>
  <c r="C18" i="2"/>
  <c r="C11" i="2"/>
  <c r="A28" i="1"/>
  <c r="A26" i="1"/>
  <c r="F23" i="2"/>
  <c r="G23" i="2"/>
  <c r="H23" i="2"/>
  <c r="I23" i="2"/>
  <c r="J23" i="2"/>
  <c r="K23" i="2"/>
  <c r="L23" i="2"/>
  <c r="M23" i="2"/>
  <c r="N23" i="2"/>
  <c r="C25" i="2"/>
  <c r="C27" i="2" s="1"/>
</calcChain>
</file>

<file path=xl/sharedStrings.xml><?xml version="1.0" encoding="utf-8"?>
<sst xmlns="http://schemas.openxmlformats.org/spreadsheetml/2006/main" count="288" uniqueCount="196">
  <si>
    <t>Project Charter</t>
  </si>
  <si>
    <t>Titulo</t>
  </si>
  <si>
    <t>Jefe de Proyecto</t>
  </si>
  <si>
    <t>Fecha inicio</t>
  </si>
  <si>
    <t>Fecha fin</t>
  </si>
  <si>
    <r>
      <rPr>
        <sz val="12"/>
        <color rgb="FF211F3B"/>
        <rFont val="Times New Roman"/>
        <family val="1"/>
      </rPr>
      <t>Sponsor</t>
    </r>
  </si>
  <si>
    <t>Alcance</t>
  </si>
  <si>
    <t>Entregables</t>
  </si>
  <si>
    <t>Riesgos y problemas</t>
  </si>
  <si>
    <t>Suposiciones y dependencias</t>
  </si>
  <si>
    <t>Costos</t>
  </si>
  <si>
    <t>Cronograma</t>
  </si>
  <si>
    <t>Hitos y Actividades</t>
  </si>
  <si>
    <t>Responsable</t>
  </si>
  <si>
    <t>Fecha Prog.</t>
  </si>
  <si>
    <t>Fecha Real</t>
  </si>
  <si>
    <t>Equipo</t>
  </si>
  <si>
    <t>Comité de Aprobación</t>
  </si>
  <si>
    <r>
      <rPr>
        <sz val="12"/>
        <color rgb="FF211F3B"/>
        <rFont val="Times New Roman"/>
        <family val="1"/>
      </rPr>
      <t>S</t>
    </r>
    <r>
      <rPr>
        <sz val="12"/>
        <color rgb="FF4F2F36"/>
        <rFont val="Times New Roman"/>
        <family val="1"/>
      </rPr>
      <t>p</t>
    </r>
    <r>
      <rPr>
        <sz val="12"/>
        <color rgb="FF211F3B"/>
        <rFont val="Times New Roman"/>
        <family val="1"/>
      </rPr>
      <t>o</t>
    </r>
    <r>
      <rPr>
        <sz val="12"/>
        <color rgb="FF4F2F36"/>
        <rFont val="Times New Roman"/>
        <family val="1"/>
      </rPr>
      <t>n</t>
    </r>
    <r>
      <rPr>
        <sz val="12"/>
        <color rgb="FF211F3B"/>
        <rFont val="Times New Roman"/>
        <family val="1"/>
      </rPr>
      <t>so</t>
    </r>
    <r>
      <rPr>
        <sz val="12"/>
        <color rgb="FF5E3F2B"/>
        <rFont val="Times New Roman"/>
        <family val="1"/>
      </rPr>
      <t>r</t>
    </r>
  </si>
  <si>
    <t>Supervisor</t>
  </si>
  <si>
    <t>Gerente</t>
  </si>
  <si>
    <t>Contador</t>
  </si>
  <si>
    <t>Jefe</t>
  </si>
  <si>
    <t>Descripción del Proyecto</t>
  </si>
  <si>
    <t>Objetivo del Proyecto</t>
  </si>
  <si>
    <t>Justificación del Proyecto</t>
  </si>
  <si>
    <t>Presupuesto resumido - Listar componentes de costo del proyecto</t>
  </si>
  <si>
    <t>Componentes</t>
  </si>
  <si>
    <t>Costo</t>
  </si>
  <si>
    <t>Total</t>
  </si>
  <si>
    <t>Ingresos</t>
  </si>
  <si>
    <t>Beneficio Cuantitativo resumido - Listar componentes de ingresos por el proyecto</t>
  </si>
  <si>
    <t>Mes 1</t>
  </si>
  <si>
    <t>Mes 2</t>
  </si>
  <si>
    <t>Mes 3</t>
  </si>
  <si>
    <t>Mes 4</t>
  </si>
  <si>
    <t>Mes 5</t>
  </si>
  <si>
    <t>Mes 6</t>
  </si>
  <si>
    <t>Mes 7</t>
  </si>
  <si>
    <t>Mes 8</t>
  </si>
  <si>
    <t>Mes 9</t>
  </si>
  <si>
    <t>Mes 10</t>
  </si>
  <si>
    <t>Mes 11</t>
  </si>
  <si>
    <t>Mes 12</t>
  </si>
  <si>
    <t>Subtotal</t>
  </si>
  <si>
    <t>Balance Costo - Beneficio</t>
  </si>
  <si>
    <t>ROI</t>
  </si>
  <si>
    <t>Erick</t>
  </si>
  <si>
    <t>Rodriguez Angobaldo Abogados</t>
  </si>
  <si>
    <t>Anthony</t>
  </si>
  <si>
    <t>William</t>
  </si>
  <si>
    <t>Gean</t>
  </si>
  <si>
    <t>•	Infraestructura (Hosting/servidores)</t>
  </si>
  <si>
    <t>1. Reducción de costos operativos (-15%)</t>
  </si>
  <si>
    <t>TurnoSmart – Sistema de Gestión de Turnos y Seguimiento de Trámites Notariales</t>
  </si>
  <si>
    <t>Wiliam</t>
  </si>
  <si>
    <t>Jhimy</t>
  </si>
  <si>
    <t>•	Personal de Desarrollo del sistema</t>
  </si>
  <si>
    <t>•	Personal de Mantenimiento y soporte</t>
  </si>
  <si>
    <t>•	Estaciones de trabajo del área de TI</t>
  </si>
  <si>
    <t>2. Incremento en captación de clientes (+15%)</t>
  </si>
  <si>
    <t>Cálculo</t>
  </si>
  <si>
    <t>Ahorro/Ingreso Mensual</t>
  </si>
  <si>
    <t>Anual</t>
  </si>
  <si>
    <t>• Ahorro en tiempo de personal administrativo</t>
  </si>
  <si>
    <t>3 horas/día × S/ 25/hora × 22 días</t>
  </si>
  <si>
    <t>S/ 1,650</t>
  </si>
  <si>
    <t>S/ 19,800</t>
  </si>
  <si>
    <t>• Reducción en impresos/papelería</t>
  </si>
  <si>
    <t>20% menos formatos físicos</t>
  </si>
  <si>
    <t>S/ 150</t>
  </si>
  <si>
    <t>S/ 1,800</t>
  </si>
  <si>
    <t>• Menor uso de espacio físico de espera</t>
  </si>
  <si>
    <t>Optimización de área</t>
  </si>
  <si>
    <t>S/ 200</t>
  </si>
  <si>
    <t>S/ 2,400</t>
  </si>
  <si>
    <t>Subtotal Ahorro Operativo</t>
  </si>
  <si>
    <t>S/ 2,000</t>
  </si>
  <si>
    <t>S/ 24,000</t>
  </si>
  <si>
    <t>• Clientes adicionales/mes por mejor experiencia</t>
  </si>
  <si>
    <t>120 clientes base × 15% = 18 nuevos</t>
  </si>
  <si>
    <t>• Ticket promedio por trámite de poder</t>
  </si>
  <si>
    <t>S/ 250 por cliente</t>
  </si>
  <si>
    <t>• Ingreso adicional mensual</t>
  </si>
  <si>
    <t>18 × S/ 250</t>
  </si>
  <si>
    <t>S/ 4,500</t>
  </si>
  <si>
    <t>S/ 54,000</t>
  </si>
  <si>
    <t>Subtotal Ingresos Adicionales</t>
  </si>
  <si>
    <t>TOTAL BENEFICIO ANUAL</t>
  </si>
  <si>
    <t>S/ 78,000</t>
  </si>
  <si>
    <t>Costo Detallado</t>
  </si>
  <si>
    <t>Personal de Desarrollo del sistema</t>
  </si>
  <si>
    <t>• Project Manager (part-time, 3.5 meses)</t>
  </si>
  <si>
    <t>S/ 8,000</t>
  </si>
  <si>
    <t>• 2 Desarrolladores Java/Web (3 meses)</t>
  </si>
  <si>
    <t>S/ 18,000</t>
  </si>
  <si>
    <t>• QA / Tester (1 mes)</t>
  </si>
  <si>
    <t>S/ 4,000</t>
  </si>
  <si>
    <t>S/ 30,000</t>
  </si>
  <si>
    <t>Personal de Mantenimiento y soporte</t>
  </si>
  <si>
    <t>• Soporte técnico post-implementación (anual)</t>
  </si>
  <si>
    <t>S/ 6,000</t>
  </si>
  <si>
    <t>Infraestructura (Hosting/servidores)</t>
  </si>
  <si>
    <t>• Cloud hosting (AWS/Azure) - anual</t>
  </si>
  <si>
    <t>S/ 3,600</t>
  </si>
  <si>
    <t>• Dominio + SSL + backup</t>
  </si>
  <si>
    <t>S/ 500</t>
  </si>
  <si>
    <t>S/ 4,100</t>
  </si>
  <si>
    <t>Estaciones de trabajo del área de TI</t>
  </si>
  <si>
    <t>• 2 PC para personal notarial</t>
  </si>
  <si>
    <t>S/ 7,000</t>
  </si>
  <si>
    <t>• Tablet para pantalla de turnos</t>
  </si>
  <si>
    <t>S/ 1,200</t>
  </si>
  <si>
    <t>S/ 8,200</t>
  </si>
  <si>
    <t>TOTAL INVERSIÓN PROYECTO (Año 1)</t>
  </si>
  <si>
    <t>S/ 48,300</t>
  </si>
  <si>
    <r>
      <t>Mes 1:</t>
    </r>
    <r>
      <rPr>
        <sz val="12"/>
        <color rgb="FF1D1D1F"/>
        <rFont val="Arial"/>
        <family val="2"/>
      </rPr>
      <t xml:space="preserve"> Implementación del sistema (sin beneficios aún)</t>
    </r>
  </si>
  <si>
    <r>
      <t>Mes 2:</t>
    </r>
    <r>
      <rPr>
        <sz val="12"/>
        <color rgb="FF1D1D1F"/>
        <rFont val="Arial"/>
        <family val="2"/>
      </rPr>
      <t xml:space="preserve"> Capacitación y puesta en marcha (25% de beneficios)</t>
    </r>
  </si>
  <si>
    <r>
      <t>Mes 3:</t>
    </r>
    <r>
      <rPr>
        <sz val="12"/>
        <color rgb="FF1D1D1F"/>
        <rFont val="Arial"/>
        <family val="2"/>
      </rPr>
      <t xml:space="preserve"> Ajustes y adopción inicial (50% de beneficios)</t>
    </r>
  </si>
  <si>
    <r>
      <t>Mes 4:</t>
    </r>
    <r>
      <rPr>
        <sz val="12"/>
        <color rgb="FF1D1D1F"/>
        <rFont val="Arial"/>
        <family val="2"/>
      </rPr>
      <t xml:space="preserve"> Operación normalizada (70% de beneficios)</t>
    </r>
  </si>
  <si>
    <r>
      <t>Mes 5:</t>
    </r>
    <r>
      <rPr>
        <sz val="12"/>
        <color rgb="FF1D1D1F"/>
        <rFont val="Arial"/>
        <family val="2"/>
      </rPr>
      <t xml:space="preserve"> Consolidación (80% de beneficios)</t>
    </r>
  </si>
  <si>
    <r>
      <t>Mes 6:</t>
    </r>
    <r>
      <rPr>
        <sz val="12"/>
        <color rgb="FF1D1D1F"/>
        <rFont val="Arial"/>
        <family val="2"/>
      </rPr>
      <t xml:space="preserve"> Maduración (90% de beneficios)</t>
    </r>
  </si>
  <si>
    <r>
      <t>Mes 7-12:</t>
    </r>
    <r>
      <rPr>
        <sz val="12"/>
        <color rgb="FF1D1D1F"/>
        <rFont val="Arial"/>
        <family val="2"/>
      </rPr>
      <t xml:space="preserve"> Beneficios completos (100%)</t>
    </r>
  </si>
  <si>
    <t>Explicación de la progresión:</t>
  </si>
  <si>
    <t>Anthony Yabar</t>
  </si>
  <si>
    <t>Gerencia de Rodríguez Angobaldo Abogados</t>
  </si>
  <si>
    <t>Registro e inicio de sesión de clientes.</t>
  </si>
  <si>
    <t>Gestión digital de turnos.</t>
  </si>
  <si>
    <t>Validación de horarios disponibles.</t>
  </si>
  <si>
    <t>Generación automática de tickets digitales.</t>
  </si>
  <si>
    <t>Seguimiento online de trámites notariales.</t>
  </si>
  <si>
    <t>Gestión de observaciones documentarias.</t>
  </si>
  <si>
    <t>Subsanación virtual de documentos.</t>
  </si>
  <si>
    <t>Panel administrativo.</t>
  </si>
  <si>
    <t>Reportes operativos.</t>
  </si>
  <si>
    <t>Base de datos centralizada.</t>
  </si>
  <si>
    <t>Sistema web funcional desarrollado en Java Spring Boot.</t>
  </si>
  <si>
    <t>Base de datos implementada en MySQL.</t>
  </si>
  <si>
    <t>Módulo de autenticación y gestión de usuarios.</t>
  </si>
  <si>
    <t>Módulo de gestión de turnos.</t>
  </si>
  <si>
    <t>Módulo de seguimiento de trámites.</t>
  </si>
  <si>
    <t>Módulo de observaciones y subsanación.</t>
  </si>
  <si>
    <t>Diagramas BPMN AS-IS y TO-BE.</t>
  </si>
  <si>
    <t>Diagramas UML y modelo ER.</t>
  </si>
  <si>
    <t>Prototipos UX/UI en Figma.</t>
  </si>
  <si>
    <t>Documentación técnica del sistema.</t>
  </si>
  <si>
    <t>Manual de usuario.</t>
  </si>
  <si>
    <t>1. Sistema web funcional desarrollado en Java Spring Boot.</t>
  </si>
  <si>
    <t>2. Base de datos implementada en MySQL.</t>
  </si>
  <si>
    <t>3. Módulo de autenticación y gestión de usuarios.</t>
  </si>
  <si>
    <t>5. Módulo de seguimiento de trámites.</t>
  </si>
  <si>
    <t>6. Módulo de observaciones y subsanación.</t>
  </si>
  <si>
    <t>7. Panel administrativo.</t>
  </si>
  <si>
    <t>9. Diagramas BPMN AS-IS y TO-BE.</t>
  </si>
  <si>
    <t>10. Diagramas UML y modelo ER.</t>
  </si>
  <si>
    <t>11. Prototipos UX/UI en Figma.</t>
  </si>
  <si>
    <t>12. Documentación técnica del sistema.</t>
  </si>
  <si>
    <t>13. Manual de usuario.</t>
  </si>
  <si>
    <t>4. Módulo de gestión de turnos.</t>
  </si>
  <si>
    <t>No Incluye</t>
  </si>
  <si>
    <t>Automatización total de todos los servicios notariales.</t>
  </si>
  <si>
    <t>Integración con RENIEC o SUNARP.</t>
  </si>
  <si>
    <t>Aplicación móvil nativa.</t>
  </si>
  <si>
    <t>Firma digital avanzada.</t>
  </si>
  <si>
    <t>Resistencia al cambio por parte del personal administrativo.
Retrasos en el desarrollo de módulos críticos.
Falta de acceso a información real de procesos notariales.
Problemas técnicos de infraestructura o conectividad.
Cambios de requerimientos durante el desarrollo.</t>
  </si>
  <si>
    <t>Disponibilidad del equipo de desarrollo.
Acceso a procesos operativos reales de la notaría.
Colaboración del personal administrativo.
Disponibilidad de infraestructura tecnológica básica.
Acceso a herramientas de desarrollo y modelado.</t>
  </si>
  <si>
    <t>Aprobación de análisis y diseño</t>
  </si>
  <si>
    <t>Diseño BPMN y UML</t>
  </si>
  <si>
    <t>Configuración de Base de Datos</t>
  </si>
  <si>
    <t>Desarrollo Backend Spring Boot</t>
  </si>
  <si>
    <t>Desarrollo Frontend y UX/UI</t>
  </si>
  <si>
    <t>Pruebas integrales</t>
  </si>
  <si>
    <t>Implementación piloto</t>
  </si>
  <si>
    <t>Capacitación y cierre</t>
  </si>
  <si>
    <t>Rol</t>
  </si>
  <si>
    <t>Analista Funcional</t>
  </si>
  <si>
    <t>Desarrollador Backend</t>
  </si>
  <si>
    <t>Diseñador UX/UI</t>
  </si>
  <si>
    <t>Documentación y QA</t>
  </si>
  <si>
    <t>Cargo</t>
  </si>
  <si>
    <t>Sponsor</t>
  </si>
  <si>
    <t>Rodríguez Angobaldo Abogados</t>
  </si>
  <si>
    <t>Gerencia</t>
  </si>
  <si>
    <t>Supervisor Académico</t>
  </si>
  <si>
    <t>Concepto</t>
  </si>
  <si>
    <t>Monto</t>
  </si>
  <si>
    <t>Desarrollo del sistema</t>
  </si>
  <si>
    <t>Infraestructura y hosting</t>
  </si>
  <si>
    <t>Diseño UX/UI</t>
  </si>
  <si>
    <t>Base de datos y configuración</t>
  </si>
  <si>
    <t>Pruebas y validación</t>
  </si>
  <si>
    <t>Documentación y capacitación</t>
  </si>
  <si>
    <t>Total Estimado</t>
  </si>
  <si>
    <t>La notaría presenta una crítica ineficiencia operativa y una severa pérdida de productividad debido a la gestión manual, fragmentada e inversa de los trámites de otorgamiento de poderes y representación legal. Bajo el flujo tradicional, el personal legal invierte valiosas horas de trabajo en revisar expedientes que resultan jurídicamente inviables o que presentan errores tipográficos en las facultades solicitadas, debido a que el público usuario carga documentos a ciegas sin una calificación legal previa. Asimismo, la falta de una pasarela de recaudación anticipada genera pérdidas por trámites abandonados a mitad del proceso, mientras que la obligatoriedad de revisiones documentales presenciales satura las instalaciones de la notaría, prolonga los tiempos de espera entre 45 minutos y 2 horas, eleva los costos de papelería en formatos impresos y degrada significativamente la experiencia del usuario al no ofrecer canales digitales centralizados de seguimiento y subsanación oportuna.
En este contexto, TurnoSmart propone una solución tecnológica orientada a optimizar la atención notarial mediante la digitalización de turnos, automatización del seguimiento de trámites y centralización de la información.</t>
  </si>
  <si>
    <t>El proyecto consiste en el diseño y desarrollo de TurnoSmart, una plataforma web orientada a la gestión de solicitudes de poderes notariales (Generales, Especiales y Corporativos) mediante cinco fases operativas controladas que restringen la comparecencia en sede únicamente para la firma manuscrita final. La solución permite a la parte solicitante registrarse e iniciar una solicitud formal delimitando el propósito y las facultades del poder, para que luego el equipo de abogados evalúe su viabilidad jurídica y liquide los honorarios correspondientes a través de una pasarela de pagos integrada de manera anticipada. Una vez financiado el trámite, se realiza la carga digital de los sustentos en formato PDF (como el DNI físico o vigencias de poder) para que el personal legal valide la documentación, registre observaciones formales si es necesario, y redacte el instrumento legal oficial heredando automáticamente los datos estructurados del sistema para mitigar errores registrales; finalmente, tras la notificación de conformidad, la plataforma habilita un calendario dinámico para reservar un turno exclusivo orientado a la validación presencial de la identidad mediante el documento físico y el plasmado de la firma manuscrita en los tomos registrales físicos de la notaría.</t>
  </si>
  <si>
    <t>El objetivo central es desarrollar e implementar la plataforma web TurnoSmart en un ciclo estimado de aproximadamente 5 meses con un presupuesto total de inversión de S/ 48,300, orientada a digitalizar el 100% del proceso de solicitud, evaluación jurídica, recaudación y redacción de poderes para reducir en un 15% los costos operativos de papelería y horas de trabajo del personal administrativo de la notaría, logrando optimizar el tiempo de atención en ventanilla al restringir la presencia del público únicamente para la firma manuscrita final en los tomos físicos, lo cual permitirá generar un beneficio cuantitativo anual proyectado de S/ 78,000 derivado de la eficiencia operativa y de un incremento del 15% en la captación de nuevas solicitudes gracias a una experiencia transparente, trazable y segura.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</si>
</sst>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S/&quot;\ #,##0;[Red]\-&quot;S/&quot;\ #,##0"/>
    <numFmt numFmtId="8" formatCode="&quot;S/&quot;\ #,##0.00;[Red]\-&quot;S/&quot;\ #,##0.00"/>
    <numFmt numFmtId="44" formatCode="_-&quot;S/&quot;\ * #,##0.00_-;\-&quot;S/&quot;\ * #,##0.00_-;_-&quot;S/&quot;\ * &quot;-&quot;??_-;_-@_-"/>
    <numFmt numFmtId="164" formatCode="[$$-409]#,##0.00"/>
    <numFmt numFmtId="165" formatCode="&quot;S/&quot;\ #,##0.00"/>
  </numFmts>
  <fonts count="22" x14ac:knownFonts="1">
    <font>
      <sz val="10"/>
      <color rgb="FF000000"/>
      <name val="Times New Roman"/>
      <charset val="204"/>
    </font>
    <font>
      <sz val="12"/>
      <color rgb="FF4F2F36"/>
      <name val="Times New Roman"/>
      <family val="1"/>
    </font>
    <font>
      <sz val="12"/>
      <color rgb="FF211F3B"/>
      <name val="Times New Roman"/>
      <family val="1"/>
    </font>
    <font>
      <sz val="12"/>
      <name val="Times New Roman"/>
      <family val="1"/>
    </font>
    <font>
      <sz val="12"/>
      <color rgb="FF31281D"/>
      <name val="Times New Roman"/>
      <family val="1"/>
    </font>
    <font>
      <sz val="12"/>
      <color rgb="FF000000"/>
      <name val="Times New Roman"/>
      <family val="1"/>
    </font>
    <font>
      <sz val="12"/>
      <color rgb="FF5E3F2B"/>
      <name val="Times New Roman"/>
      <family val="1"/>
    </font>
    <font>
      <sz val="12"/>
      <color rgb="FF4D2313"/>
      <name val="Times New Roman"/>
      <family val="1"/>
    </font>
    <font>
      <sz val="16"/>
      <name val="Times New Roman"/>
      <family val="1"/>
    </font>
    <font>
      <sz val="10"/>
      <color rgb="FF000000"/>
      <name val="Times New Roman"/>
      <family val="1"/>
    </font>
    <font>
      <b/>
      <sz val="12"/>
      <color rgb="FF000000"/>
      <name val="Times New Roman"/>
      <family val="1"/>
    </font>
    <font>
      <sz val="9"/>
      <color rgb="FF000000"/>
      <name val="Times New Roman"/>
      <family val="1"/>
    </font>
    <font>
      <sz val="8"/>
      <name val="Times New Roman"/>
      <family val="1"/>
    </font>
    <font>
      <sz val="11"/>
      <color rgb="FF1D1D1F"/>
      <name val="Arial"/>
      <family val="2"/>
    </font>
    <font>
      <sz val="12"/>
      <color rgb="FF1D1D1F"/>
      <name val="Arial"/>
      <family val="2"/>
    </font>
    <font>
      <b/>
      <sz val="10"/>
      <color rgb="FF000000"/>
      <name val="Times New Roman"/>
      <family val="1"/>
    </font>
    <font>
      <sz val="10"/>
      <color rgb="FF000000"/>
      <name val="Times New Roman"/>
      <family val="1"/>
    </font>
    <font>
      <b/>
      <sz val="11"/>
      <color rgb="FF000000"/>
      <name val="Times New Roman"/>
      <family val="1"/>
    </font>
    <font>
      <b/>
      <sz val="12"/>
      <color rgb="FF1D1D1F"/>
      <name val="Arial"/>
      <family val="2"/>
    </font>
    <font>
      <sz val="12"/>
      <color rgb="FF1D1D1F"/>
      <name val="Arial"/>
      <family val="2"/>
    </font>
    <font>
      <sz val="13.5"/>
      <color rgb="FF1D1D1F"/>
      <name val="Arial"/>
      <family val="2"/>
    </font>
    <font>
      <sz val="9"/>
      <name val="Times New Roman"/>
      <family val="1"/>
    </font>
  </fonts>
  <fills count="7">
    <fill>
      <patternFill patternType="none"/>
    </fill>
    <fill>
      <patternFill patternType="gray125"/>
    </fill>
    <fill>
      <patternFill patternType="solid">
        <fgColor rgb="FF53D2FF"/>
        <bgColor indexed="64"/>
      </patternFill>
    </fill>
    <fill>
      <patternFill patternType="solid">
        <fgColor rgb="FFC0C0C0"/>
        <bgColor indexed="64"/>
      </patternFill>
    </fill>
    <fill>
      <patternFill patternType="gray0625">
        <bgColor rgb="FFF2F2F2"/>
      </patternFill>
    </fill>
    <fill>
      <patternFill patternType="solid">
        <fgColor rgb="FFFFFF00"/>
        <bgColor indexed="64"/>
      </patternFill>
    </fill>
    <fill>
      <patternFill patternType="solid">
        <fgColor rgb="FFFFFFFF"/>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547CAC"/>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right style="thin">
        <color indexed="64"/>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rgb="FF030000"/>
      </bottom>
      <diagonal/>
    </border>
    <border>
      <left/>
      <right style="thin">
        <color indexed="64"/>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4" fontId="16" fillId="0" borderId="0" applyFont="0" applyFill="0" applyBorder="0" applyAlignment="0" applyProtection="0"/>
    <xf numFmtId="9" fontId="16" fillId="0" borderId="0" applyFont="0" applyFill="0" applyBorder="0" applyAlignment="0" applyProtection="0"/>
  </cellStyleXfs>
  <cellXfs count="120">
    <xf numFmtId="0" fontId="0" fillId="0" borderId="0" xfId="0" applyAlignment="1">
      <alignment horizontal="left" vertical="top"/>
    </xf>
    <xf numFmtId="0" fontId="5" fillId="0" borderId="0" xfId="0" applyFont="1" applyAlignment="1">
      <alignment horizontal="left" vertical="top"/>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0" borderId="12" xfId="0" applyFont="1" applyBorder="1" applyAlignment="1">
      <alignment horizontal="left" vertical="top" wrapText="1"/>
    </xf>
    <xf numFmtId="0" fontId="3" fillId="2" borderId="7"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6" xfId="0" applyFont="1" applyFill="1" applyBorder="1" applyAlignment="1">
      <alignment horizontal="left" vertical="top" wrapText="1"/>
    </xf>
    <xf numFmtId="0" fontId="5" fillId="0" borderId="17" xfId="0" applyFont="1" applyBorder="1" applyAlignment="1">
      <alignment horizontal="left" vertical="top" wrapText="1"/>
    </xf>
    <xf numFmtId="0" fontId="3" fillId="2" borderId="18" xfId="0" applyFont="1" applyFill="1" applyBorder="1" applyAlignment="1">
      <alignment horizontal="left" vertical="top" wrapText="1"/>
    </xf>
    <xf numFmtId="0" fontId="5" fillId="2" borderId="6" xfId="0" applyFont="1" applyFill="1" applyBorder="1" applyAlignment="1">
      <alignment horizontal="left" vertical="top" wrapText="1"/>
    </xf>
    <xf numFmtId="0" fontId="9" fillId="0" borderId="0" xfId="0" applyFont="1" applyAlignment="1">
      <alignment horizontal="left" vertical="top"/>
    </xf>
    <xf numFmtId="0" fontId="10" fillId="4" borderId="20" xfId="0" applyFont="1" applyFill="1" applyBorder="1" applyAlignment="1">
      <alignment horizontal="left" vertical="center"/>
    </xf>
    <xf numFmtId="0" fontId="10" fillId="4" borderId="21" xfId="0" applyFont="1" applyFill="1" applyBorder="1" applyAlignment="1">
      <alignment horizontal="center" vertical="center"/>
    </xf>
    <xf numFmtId="0" fontId="9" fillId="0" borderId="22" xfId="0" applyFont="1" applyBorder="1" applyAlignment="1">
      <alignment horizontal="left" vertical="center"/>
    </xf>
    <xf numFmtId="0" fontId="11" fillId="0" borderId="22" xfId="0" applyFont="1" applyBorder="1" applyAlignment="1">
      <alignment horizontal="left" vertical="center"/>
    </xf>
    <xf numFmtId="0" fontId="10" fillId="0" borderId="24" xfId="0" applyFont="1" applyBorder="1" applyAlignment="1">
      <alignment horizontal="left" vertical="center"/>
    </xf>
    <xf numFmtId="0" fontId="9" fillId="0" borderId="7" xfId="0" applyFont="1" applyBorder="1" applyAlignment="1">
      <alignment horizontal="left" vertical="top"/>
    </xf>
    <xf numFmtId="0" fontId="10" fillId="0" borderId="7" xfId="0" applyFont="1" applyBorder="1" applyAlignment="1">
      <alignment horizontal="left" vertical="center"/>
    </xf>
    <xf numFmtId="164" fontId="10" fillId="5" borderId="7" xfId="0" applyNumberFormat="1" applyFont="1" applyFill="1" applyBorder="1" applyAlignment="1">
      <alignment horizontal="center" vertical="center"/>
    </xf>
    <xf numFmtId="14" fontId="5" fillId="0" borderId="3" xfId="0" applyNumberFormat="1" applyFont="1" applyBorder="1" applyAlignment="1">
      <alignment horizontal="center" vertical="top" wrapText="1"/>
    </xf>
    <xf numFmtId="14" fontId="5" fillId="0" borderId="2" xfId="0" applyNumberFormat="1" applyFont="1" applyBorder="1" applyAlignment="1">
      <alignment horizontal="center" vertical="top" wrapText="1"/>
    </xf>
    <xf numFmtId="0" fontId="13" fillId="0" borderId="7" xfId="0" applyFont="1" applyBorder="1" applyAlignment="1">
      <alignment horizontal="left" vertical="top"/>
    </xf>
    <xf numFmtId="0" fontId="14" fillId="6" borderId="7" xfId="0" applyFont="1" applyFill="1" applyBorder="1" applyAlignment="1">
      <alignment horizontal="left" vertical="center" wrapText="1"/>
    </xf>
    <xf numFmtId="0" fontId="10" fillId="4" borderId="7" xfId="0" applyFont="1" applyFill="1" applyBorder="1" applyAlignment="1">
      <alignment horizontal="left" vertical="center"/>
    </xf>
    <xf numFmtId="0" fontId="10" fillId="4" borderId="7" xfId="0" applyFont="1" applyFill="1" applyBorder="1" applyAlignment="1">
      <alignment horizontal="center" vertical="center"/>
    </xf>
    <xf numFmtId="165" fontId="9" fillId="0" borderId="23" xfId="0" applyNumberFormat="1" applyFont="1" applyBorder="1" applyAlignment="1">
      <alignment horizontal="center" vertical="center"/>
    </xf>
    <xf numFmtId="165" fontId="10" fillId="0" borderId="25" xfId="0" applyNumberFormat="1" applyFont="1" applyBorder="1" applyAlignment="1">
      <alignment horizontal="center" vertical="center"/>
    </xf>
    <xf numFmtId="165" fontId="9" fillId="0" borderId="7" xfId="0" applyNumberFormat="1" applyFont="1" applyBorder="1" applyAlignment="1">
      <alignment horizontal="center" vertical="center"/>
    </xf>
    <xf numFmtId="165" fontId="15" fillId="0" borderId="7" xfId="0" applyNumberFormat="1" applyFont="1" applyBorder="1" applyAlignment="1">
      <alignment horizontal="center" vertical="center"/>
    </xf>
    <xf numFmtId="10" fontId="10" fillId="5" borderId="7" xfId="2" applyNumberFormat="1" applyFont="1" applyFill="1" applyBorder="1" applyAlignment="1">
      <alignment horizontal="center" vertical="top"/>
    </xf>
    <xf numFmtId="0" fontId="18" fillId="6" borderId="7" xfId="0" applyFont="1" applyFill="1" applyBorder="1" applyAlignment="1">
      <alignment horizontal="center" vertical="center" wrapText="1"/>
    </xf>
    <xf numFmtId="0" fontId="19" fillId="6" borderId="7" xfId="0" applyFont="1" applyFill="1" applyBorder="1" applyAlignment="1">
      <alignment horizontal="left" vertical="center" wrapText="1"/>
    </xf>
    <xf numFmtId="0" fontId="18" fillId="6" borderId="7" xfId="0" applyFont="1" applyFill="1" applyBorder="1" applyAlignment="1">
      <alignment horizontal="center" vertical="center"/>
    </xf>
    <xf numFmtId="0" fontId="19" fillId="6" borderId="7" xfId="0" applyFont="1" applyFill="1" applyBorder="1" applyAlignment="1">
      <alignment horizontal="left" vertical="center"/>
    </xf>
    <xf numFmtId="0" fontId="14" fillId="6" borderId="7" xfId="0" applyFont="1" applyFill="1" applyBorder="1" applyAlignment="1">
      <alignment horizontal="left" vertical="center"/>
    </xf>
    <xf numFmtId="0" fontId="14" fillId="5" borderId="7" xfId="0" applyFont="1" applyFill="1" applyBorder="1" applyAlignment="1">
      <alignment horizontal="left" vertical="center" wrapText="1"/>
    </xf>
    <xf numFmtId="0" fontId="9" fillId="0" borderId="7" xfId="0" applyFont="1" applyBorder="1" applyAlignment="1">
      <alignment horizontal="left" vertical="center"/>
    </xf>
    <xf numFmtId="0" fontId="20" fillId="0" borderId="0" xfId="0" applyFont="1" applyAlignment="1">
      <alignment horizontal="left" vertical="center"/>
    </xf>
    <xf numFmtId="0" fontId="0" fillId="0" borderId="0" xfId="0" applyAlignment="1">
      <alignment horizontal="left" vertical="center" indent="1"/>
    </xf>
    <xf numFmtId="0" fontId="19" fillId="0" borderId="0" xfId="0" applyFont="1" applyAlignment="1">
      <alignment horizontal="left" vertical="center" indent="1"/>
    </xf>
    <xf numFmtId="0" fontId="3" fillId="0" borderId="1" xfId="0" applyFont="1" applyBorder="1" applyAlignment="1">
      <alignment horizontal="left" vertical="top" wrapText="1"/>
    </xf>
    <xf numFmtId="0" fontId="9" fillId="0" borderId="0" xfId="0" applyFont="1" applyAlignment="1">
      <alignment horizontal="left" vertical="center" indent="1"/>
    </xf>
    <xf numFmtId="0" fontId="10" fillId="0" borderId="0" xfId="0" applyFont="1" applyAlignment="1">
      <alignment horizontal="left" vertical="center"/>
    </xf>
    <xf numFmtId="0" fontId="5" fillId="0" borderId="0" xfId="0" applyFont="1" applyAlignment="1">
      <alignment horizontal="left" vertical="top" wrapText="1"/>
    </xf>
    <xf numFmtId="0" fontId="13" fillId="0" borderId="13" xfId="0" applyFont="1" applyBorder="1" applyAlignment="1">
      <alignment horizontal="left" vertical="top"/>
    </xf>
    <xf numFmtId="0" fontId="15" fillId="0" borderId="0" xfId="0" applyFont="1" applyAlignment="1">
      <alignment horizontal="center" vertical="center" wrapText="1"/>
    </xf>
    <xf numFmtId="0" fontId="9" fillId="0" borderId="0" xfId="0" applyFont="1" applyAlignment="1">
      <alignment horizontal="left" vertical="center" wrapText="1"/>
    </xf>
    <xf numFmtId="14" fontId="9" fillId="0" borderId="0" xfId="0" applyNumberFormat="1" applyFont="1" applyAlignment="1">
      <alignment horizontal="left" vertical="center" wrapText="1"/>
    </xf>
    <xf numFmtId="14" fontId="5" fillId="0" borderId="1" xfId="0" applyNumberFormat="1" applyFont="1" applyBorder="1" applyAlignment="1">
      <alignment horizontal="left" vertical="top" wrapText="1"/>
    </xf>
    <xf numFmtId="14" fontId="5" fillId="0" borderId="0" xfId="0" applyNumberFormat="1" applyFont="1" applyAlignment="1">
      <alignment horizontal="left" vertical="center" wrapText="1"/>
    </xf>
    <xf numFmtId="6" fontId="9" fillId="0" borderId="0" xfId="0" applyNumberFormat="1" applyFont="1" applyAlignment="1">
      <alignment horizontal="left" vertical="center" wrapText="1"/>
    </xf>
    <xf numFmtId="0" fontId="15" fillId="0" borderId="0" xfId="0" applyFont="1" applyAlignment="1">
      <alignment horizontal="left" vertical="center" wrapText="1"/>
    </xf>
    <xf numFmtId="8" fontId="15" fillId="0" borderId="0" xfId="0" applyNumberFormat="1" applyFont="1" applyAlignment="1">
      <alignment horizontal="left" vertical="center" wrapText="1"/>
    </xf>
    <xf numFmtId="0" fontId="10" fillId="3" borderId="26"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7" fillId="3" borderId="26" xfId="0" applyFont="1" applyFill="1" applyBorder="1" applyAlignment="1">
      <alignment horizontal="left" vertical="center" wrapText="1"/>
    </xf>
    <xf numFmtId="0" fontId="17" fillId="3" borderId="21" xfId="0" applyFont="1" applyFill="1" applyBorder="1" applyAlignment="1">
      <alignment horizontal="left" vertical="center" wrapText="1"/>
    </xf>
    <xf numFmtId="0" fontId="7"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0" xfId="0" applyFont="1" applyAlignment="1">
      <alignment horizontal="left" vertical="top"/>
    </xf>
    <xf numFmtId="0" fontId="5" fillId="0" borderId="27" xfId="0" applyFont="1" applyBorder="1" applyAlignment="1">
      <alignment horizontal="left" vertical="top"/>
    </xf>
    <xf numFmtId="0" fontId="5" fillId="0" borderId="11" xfId="0" applyFont="1" applyBorder="1" applyAlignment="1">
      <alignment horizontal="left" vertical="top" wrapText="1"/>
    </xf>
    <xf numFmtId="0" fontId="5" fillId="0" borderId="8" xfId="0" applyFont="1" applyBorder="1" applyAlignment="1">
      <alignment horizontal="left" vertical="top" wrapText="1"/>
    </xf>
    <xf numFmtId="0" fontId="5" fillId="0" borderId="19" xfId="0" applyFont="1" applyBorder="1" applyAlignment="1">
      <alignment horizontal="left" vertical="top" wrapText="1"/>
    </xf>
    <xf numFmtId="0" fontId="3" fillId="0" borderId="7" xfId="0" applyFont="1" applyBorder="1" applyAlignment="1">
      <alignment horizontal="left" vertical="top" wrapText="1"/>
    </xf>
    <xf numFmtId="0" fontId="5" fillId="2" borderId="13" xfId="0" applyFont="1" applyFill="1" applyBorder="1" applyAlignment="1">
      <alignment horizontal="center" vertical="top" wrapText="1"/>
    </xf>
    <xf numFmtId="0" fontId="5" fillId="2" borderId="14" xfId="0" applyFont="1" applyFill="1" applyBorder="1" applyAlignment="1">
      <alignment horizontal="center" vertical="top" wrapText="1"/>
    </xf>
    <xf numFmtId="0" fontId="5" fillId="2" borderId="15" xfId="0" applyFont="1" applyFill="1" applyBorder="1" applyAlignment="1">
      <alignment horizontal="center" vertical="top" wrapText="1"/>
    </xf>
    <xf numFmtId="0" fontId="4" fillId="2" borderId="7" xfId="0" applyFont="1" applyFill="1" applyBorder="1" applyAlignment="1">
      <alignment horizontal="center"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7" xfId="0" applyFont="1" applyBorder="1" applyAlignment="1">
      <alignment horizontal="left" vertical="top" wrapText="1"/>
    </xf>
    <xf numFmtId="0" fontId="5" fillId="0" borderId="31" xfId="0" applyFont="1" applyBorder="1" applyAlignment="1">
      <alignment horizontal="left" vertical="top"/>
    </xf>
    <xf numFmtId="0" fontId="5" fillId="0" borderId="32" xfId="0" applyFont="1" applyBorder="1" applyAlignment="1">
      <alignment horizontal="left" vertical="top"/>
    </xf>
    <xf numFmtId="0" fontId="4"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165" fontId="5" fillId="0" borderId="2" xfId="0" applyNumberFormat="1" applyFont="1" applyBorder="1" applyAlignment="1">
      <alignment horizontal="center" vertical="center" wrapText="1"/>
    </xf>
    <xf numFmtId="165" fontId="5" fillId="0" borderId="3"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0" fontId="2" fillId="2" borderId="11" xfId="0" applyFont="1" applyFill="1" applyBorder="1" applyAlignment="1">
      <alignment horizontal="center" vertical="top" wrapText="1"/>
    </xf>
    <xf numFmtId="0" fontId="3" fillId="2" borderId="8" xfId="0" applyFont="1" applyFill="1" applyBorder="1" applyAlignment="1">
      <alignment horizontal="center" vertical="top" wrapText="1"/>
    </xf>
    <xf numFmtId="0" fontId="3" fillId="2" borderId="5" xfId="0" applyFont="1" applyFill="1" applyBorder="1" applyAlignment="1">
      <alignment horizontal="center" vertical="top" wrapText="1"/>
    </xf>
    <xf numFmtId="0" fontId="2" fillId="2" borderId="13" xfId="0" applyFont="1" applyFill="1" applyBorder="1" applyAlignment="1">
      <alignment horizontal="left" vertical="top" wrapText="1"/>
    </xf>
    <xf numFmtId="0" fontId="3" fillId="2" borderId="14" xfId="0" applyFont="1" applyFill="1" applyBorder="1" applyAlignment="1">
      <alignment horizontal="left" vertical="top" wrapText="1"/>
    </xf>
    <xf numFmtId="0" fontId="3" fillId="2" borderId="15"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10"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7" fillId="0" borderId="30" xfId="0" applyFont="1" applyBorder="1" applyAlignment="1">
      <alignment horizontal="left" vertical="top" wrapText="1"/>
    </xf>
    <xf numFmtId="165" fontId="5" fillId="0" borderId="2" xfId="1" applyNumberFormat="1" applyFont="1" applyBorder="1" applyAlignment="1">
      <alignment horizontal="center" vertical="center" wrapText="1"/>
    </xf>
    <xf numFmtId="165" fontId="5" fillId="0" borderId="3" xfId="1" applyNumberFormat="1" applyFont="1" applyBorder="1" applyAlignment="1">
      <alignment horizontal="center" vertical="center" wrapText="1"/>
    </xf>
    <xf numFmtId="165" fontId="5" fillId="0" borderId="4" xfId="1" applyNumberFormat="1" applyFont="1" applyBorder="1" applyAlignment="1">
      <alignment horizontal="center" vertical="center" wrapText="1"/>
    </xf>
    <xf numFmtId="0" fontId="8" fillId="2" borderId="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4" xfId="0" applyFont="1" applyFill="1" applyBorder="1" applyAlignment="1">
      <alignment horizontal="center" vertical="top" wrapText="1"/>
    </xf>
    <xf numFmtId="0" fontId="21" fillId="0" borderId="2" xfId="0" applyFont="1" applyBorder="1" applyAlignment="1">
      <alignment horizontal="left" vertical="top" wrapText="1"/>
    </xf>
    <xf numFmtId="0" fontId="21" fillId="0" borderId="8" xfId="0" applyFont="1" applyBorder="1" applyAlignment="1">
      <alignment horizontal="left" vertical="top" wrapText="1"/>
    </xf>
    <xf numFmtId="0" fontId="21" fillId="0" borderId="3" xfId="0" applyFont="1" applyBorder="1" applyAlignment="1">
      <alignment horizontal="left" vertical="top" wrapText="1"/>
    </xf>
    <xf numFmtId="0" fontId="4" fillId="2" borderId="2"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2" xfId="0" applyFont="1" applyFill="1" applyBorder="1" applyAlignment="1">
      <alignment horizontal="left" vertical="top" wrapText="1"/>
    </xf>
    <xf numFmtId="0" fontId="2" fillId="2" borderId="2" xfId="0" applyFont="1" applyFill="1" applyBorder="1" applyAlignment="1">
      <alignment horizontal="center" vertical="top" wrapText="1"/>
    </xf>
    <xf numFmtId="0" fontId="3" fillId="2" borderId="9"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4" xfId="0" applyFont="1" applyFill="1" applyBorder="1" applyAlignment="1">
      <alignment horizontal="center"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cellXfs>
  <cellStyles count="3">
    <cellStyle name="Moneda" xfId="1" builtinId="4"/>
    <cellStyle name="Normal" xfId="0" builtinId="0"/>
    <cellStyle name="Porcentaje" xfId="2" builtinId="5"/>
  </cellStyles>
  <dxfs count="0"/>
  <tableStyles count="0" defaultTableStyle="TableStyleMedium9" defaultPivotStyle="PivotStyleLight16"/>
  <colors>
    <mruColors>
      <color rgb="FF53D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topLeftCell="A7" zoomScaleNormal="100" workbookViewId="0">
      <selection activeCell="J9" sqref="J9"/>
    </sheetView>
  </sheetViews>
  <sheetFormatPr baseColWidth="10" defaultColWidth="8.6640625" defaultRowHeight="15.6" x14ac:dyDescent="0.25"/>
  <cols>
    <col min="1" max="1" width="20.77734375" style="1" customWidth="1"/>
    <col min="2" max="3" width="20.21875" style="1" customWidth="1"/>
    <col min="4" max="4" width="18.77734375" style="1" customWidth="1"/>
    <col min="5" max="5" width="17" style="1" customWidth="1"/>
    <col min="6" max="6" width="16.21875" style="1" customWidth="1"/>
    <col min="7" max="7" width="23.33203125" style="1" customWidth="1"/>
    <col min="8" max="8" width="4.21875" style="1" customWidth="1"/>
    <col min="9" max="16384" width="8.6640625" style="1"/>
  </cols>
  <sheetData>
    <row r="1" spans="1:12" ht="21" x14ac:dyDescent="0.25">
      <c r="A1" s="100" t="s">
        <v>0</v>
      </c>
      <c r="B1" s="101"/>
      <c r="C1" s="101"/>
      <c r="D1" s="101"/>
      <c r="E1" s="101"/>
      <c r="F1" s="101"/>
      <c r="G1" s="102"/>
    </row>
    <row r="2" spans="1:12" ht="32.25" customHeight="1" x14ac:dyDescent="0.25">
      <c r="A2" s="3" t="s">
        <v>1</v>
      </c>
      <c r="B2" s="103" t="s">
        <v>54</v>
      </c>
      <c r="C2" s="104"/>
      <c r="D2" s="105"/>
      <c r="E2" s="106" t="s">
        <v>2</v>
      </c>
      <c r="F2" s="107"/>
      <c r="G2" s="42" t="s">
        <v>124</v>
      </c>
    </row>
    <row r="3" spans="1:12" ht="31.2" x14ac:dyDescent="0.25">
      <c r="A3" s="3" t="s">
        <v>3</v>
      </c>
      <c r="B3" s="22">
        <v>46116</v>
      </c>
      <c r="C3" s="4" t="s">
        <v>4</v>
      </c>
      <c r="D3" s="21">
        <v>46218</v>
      </c>
      <c r="E3" s="108" t="s">
        <v>5</v>
      </c>
      <c r="F3" s="107"/>
      <c r="G3" s="42" t="s">
        <v>125</v>
      </c>
    </row>
    <row r="4" spans="1:12" ht="18.75" customHeight="1" x14ac:dyDescent="0.25">
      <c r="A4" s="109" t="s">
        <v>25</v>
      </c>
      <c r="B4" s="81"/>
      <c r="C4" s="110"/>
      <c r="D4" s="81"/>
      <c r="E4" s="81"/>
      <c r="F4" s="81"/>
      <c r="G4" s="82"/>
    </row>
    <row r="5" spans="1:12" ht="150.6" customHeight="1" x14ac:dyDescent="0.25">
      <c r="A5" s="92" t="s">
        <v>193</v>
      </c>
      <c r="B5" s="60"/>
      <c r="C5" s="60"/>
      <c r="D5" s="60"/>
      <c r="E5" s="60"/>
      <c r="F5" s="60"/>
      <c r="G5" s="61"/>
    </row>
    <row r="6" spans="1:12" ht="18.75" customHeight="1" x14ac:dyDescent="0.25">
      <c r="A6" s="109" t="s">
        <v>23</v>
      </c>
      <c r="B6" s="81"/>
      <c r="C6" s="110"/>
      <c r="D6" s="81"/>
      <c r="E6" s="81"/>
      <c r="F6" s="81"/>
      <c r="G6" s="82"/>
    </row>
    <row r="7" spans="1:12" ht="147.6" customHeight="1" x14ac:dyDescent="0.25">
      <c r="A7" s="92" t="s">
        <v>194</v>
      </c>
      <c r="B7" s="60"/>
      <c r="C7" s="60"/>
      <c r="D7" s="60"/>
      <c r="E7" s="60"/>
      <c r="F7" s="60"/>
      <c r="G7" s="61"/>
    </row>
    <row r="8" spans="1:12" ht="18.75" customHeight="1" x14ac:dyDescent="0.25">
      <c r="A8" s="109" t="s">
        <v>24</v>
      </c>
      <c r="B8" s="81"/>
      <c r="C8" s="110"/>
      <c r="D8" s="81"/>
      <c r="E8" s="81"/>
      <c r="F8" s="81"/>
      <c r="G8" s="82"/>
    </row>
    <row r="9" spans="1:12" ht="102" customHeight="1" x14ac:dyDescent="0.25">
      <c r="A9" s="92" t="s">
        <v>195</v>
      </c>
      <c r="B9" s="60"/>
      <c r="C9" s="60"/>
      <c r="D9" s="60"/>
      <c r="E9" s="60"/>
      <c r="F9" s="60"/>
      <c r="G9" s="61"/>
    </row>
    <row r="10" spans="1:12" x14ac:dyDescent="0.25">
      <c r="A10" s="80" t="s">
        <v>6</v>
      </c>
      <c r="B10" s="111"/>
      <c r="C10" s="111"/>
      <c r="D10" s="112"/>
      <c r="E10" s="80" t="s">
        <v>7</v>
      </c>
      <c r="F10" s="111"/>
      <c r="G10" s="112"/>
    </row>
    <row r="11" spans="1:12" ht="15.6" customHeight="1" x14ac:dyDescent="0.25">
      <c r="A11" s="92" t="s">
        <v>126</v>
      </c>
      <c r="B11" s="60" t="s">
        <v>126</v>
      </c>
      <c r="C11" s="60" t="s">
        <v>126</v>
      </c>
      <c r="D11" s="61" t="s">
        <v>126</v>
      </c>
      <c r="E11" s="59" t="s">
        <v>147</v>
      </c>
      <c r="F11" s="113" t="s">
        <v>136</v>
      </c>
      <c r="G11" s="114" t="s">
        <v>136</v>
      </c>
    </row>
    <row r="12" spans="1:12" x14ac:dyDescent="0.25">
      <c r="A12" s="92" t="s">
        <v>127</v>
      </c>
      <c r="B12" s="60" t="s">
        <v>127</v>
      </c>
      <c r="C12" s="60" t="s">
        <v>127</v>
      </c>
      <c r="D12" s="61" t="s">
        <v>127</v>
      </c>
      <c r="E12" s="59" t="s">
        <v>148</v>
      </c>
      <c r="F12" s="60" t="s">
        <v>137</v>
      </c>
      <c r="G12" s="61" t="s">
        <v>137</v>
      </c>
    </row>
    <row r="13" spans="1:12" x14ac:dyDescent="0.25">
      <c r="A13" s="92" t="s">
        <v>128</v>
      </c>
      <c r="B13" s="60" t="s">
        <v>128</v>
      </c>
      <c r="C13" s="60" t="s">
        <v>128</v>
      </c>
      <c r="D13" s="61" t="s">
        <v>128</v>
      </c>
      <c r="E13" s="59" t="s">
        <v>149</v>
      </c>
      <c r="F13" s="60" t="s">
        <v>138</v>
      </c>
      <c r="G13" s="61" t="s">
        <v>138</v>
      </c>
    </row>
    <row r="14" spans="1:12" x14ac:dyDescent="0.25">
      <c r="A14" s="92" t="s">
        <v>129</v>
      </c>
      <c r="B14" s="60" t="s">
        <v>129</v>
      </c>
      <c r="C14" s="60" t="s">
        <v>129</v>
      </c>
      <c r="D14" s="61" t="s">
        <v>129</v>
      </c>
      <c r="E14" s="59" t="s">
        <v>158</v>
      </c>
      <c r="F14" s="60" t="s">
        <v>139</v>
      </c>
      <c r="G14" s="61" t="s">
        <v>139</v>
      </c>
      <c r="L14" s="44" t="s">
        <v>159</v>
      </c>
    </row>
    <row r="15" spans="1:12" x14ac:dyDescent="0.25">
      <c r="A15" s="92" t="s">
        <v>130</v>
      </c>
      <c r="B15" s="60" t="s">
        <v>130</v>
      </c>
      <c r="C15" s="60" t="s">
        <v>130</v>
      </c>
      <c r="D15" s="61" t="s">
        <v>130</v>
      </c>
      <c r="E15" s="59" t="s">
        <v>150</v>
      </c>
      <c r="F15" s="60" t="s">
        <v>140</v>
      </c>
      <c r="G15" s="61" t="s">
        <v>140</v>
      </c>
      <c r="L15" s="40"/>
    </row>
    <row r="16" spans="1:12" x14ac:dyDescent="0.25">
      <c r="A16" s="92" t="s">
        <v>131</v>
      </c>
      <c r="B16" s="60" t="s">
        <v>131</v>
      </c>
      <c r="C16" s="60" t="s">
        <v>131</v>
      </c>
      <c r="D16" s="61" t="s">
        <v>131</v>
      </c>
      <c r="E16" s="59" t="s">
        <v>151</v>
      </c>
      <c r="F16" s="60" t="s">
        <v>141</v>
      </c>
      <c r="G16" s="61" t="s">
        <v>141</v>
      </c>
      <c r="L16" s="43" t="s">
        <v>160</v>
      </c>
    </row>
    <row r="17" spans="1:12" x14ac:dyDescent="0.25">
      <c r="A17" s="92" t="s">
        <v>132</v>
      </c>
      <c r="B17" s="60" t="s">
        <v>132</v>
      </c>
      <c r="C17" s="60" t="s">
        <v>132</v>
      </c>
      <c r="D17" s="61" t="s">
        <v>132</v>
      </c>
      <c r="E17" s="59" t="s">
        <v>152</v>
      </c>
      <c r="F17" s="60" t="s">
        <v>133</v>
      </c>
      <c r="G17" s="61" t="s">
        <v>133</v>
      </c>
      <c r="L17" s="43" t="s">
        <v>161</v>
      </c>
    </row>
    <row r="18" spans="1:12" x14ac:dyDescent="0.25">
      <c r="A18" s="92" t="s">
        <v>133</v>
      </c>
      <c r="B18" s="60" t="s">
        <v>133</v>
      </c>
      <c r="C18" s="60" t="s">
        <v>133</v>
      </c>
      <c r="D18" s="61" t="s">
        <v>133</v>
      </c>
      <c r="E18" s="59" t="s">
        <v>153</v>
      </c>
      <c r="F18" s="60" t="s">
        <v>142</v>
      </c>
      <c r="G18" s="61" t="s">
        <v>142</v>
      </c>
      <c r="L18" s="43" t="s">
        <v>162</v>
      </c>
    </row>
    <row r="19" spans="1:12" x14ac:dyDescent="0.25">
      <c r="A19" s="92" t="s">
        <v>134</v>
      </c>
      <c r="B19" s="60" t="s">
        <v>134</v>
      </c>
      <c r="C19" s="60" t="s">
        <v>134</v>
      </c>
      <c r="D19" s="61" t="s">
        <v>134</v>
      </c>
      <c r="E19" s="59" t="s">
        <v>154</v>
      </c>
      <c r="F19" s="60" t="s">
        <v>143</v>
      </c>
      <c r="G19" s="61" t="s">
        <v>143</v>
      </c>
      <c r="L19" s="43" t="s">
        <v>163</v>
      </c>
    </row>
    <row r="20" spans="1:12" x14ac:dyDescent="0.25">
      <c r="A20" s="92" t="s">
        <v>135</v>
      </c>
      <c r="B20" s="60" t="s">
        <v>135</v>
      </c>
      <c r="C20" s="60" t="s">
        <v>135</v>
      </c>
      <c r="D20" s="61" t="s">
        <v>135</v>
      </c>
      <c r="E20" s="59" t="s">
        <v>155</v>
      </c>
      <c r="F20" s="60" t="s">
        <v>144</v>
      </c>
      <c r="G20" s="61" t="s">
        <v>144</v>
      </c>
    </row>
    <row r="21" spans="1:12" x14ac:dyDescent="0.25">
      <c r="A21" s="92"/>
      <c r="B21" s="60"/>
      <c r="C21" s="60"/>
      <c r="D21" s="61"/>
      <c r="E21" s="92" t="s">
        <v>156</v>
      </c>
      <c r="F21" s="60" t="s">
        <v>145</v>
      </c>
      <c r="G21" s="61" t="s">
        <v>145</v>
      </c>
    </row>
    <row r="22" spans="1:12" x14ac:dyDescent="0.25">
      <c r="A22" s="92"/>
      <c r="B22" s="60"/>
      <c r="C22" s="60"/>
      <c r="D22" s="61"/>
      <c r="E22" s="92" t="s">
        <v>157</v>
      </c>
      <c r="F22" s="60" t="s">
        <v>146</v>
      </c>
      <c r="G22" s="61" t="s">
        <v>146</v>
      </c>
    </row>
    <row r="23" spans="1:12" ht="17.25" customHeight="1" x14ac:dyDescent="0.25">
      <c r="A23" s="80" t="s">
        <v>8</v>
      </c>
      <c r="B23" s="111"/>
      <c r="C23" s="111"/>
      <c r="D23" s="112"/>
      <c r="E23" s="109" t="s">
        <v>9</v>
      </c>
      <c r="F23" s="115"/>
      <c r="G23" s="116"/>
    </row>
    <row r="24" spans="1:12" ht="78.45" customHeight="1" x14ac:dyDescent="0.25">
      <c r="A24" s="117" t="s">
        <v>164</v>
      </c>
      <c r="B24" s="118"/>
      <c r="C24" s="118"/>
      <c r="D24" s="119"/>
      <c r="E24" s="117" t="s">
        <v>165</v>
      </c>
      <c r="F24" s="118"/>
      <c r="G24" s="119"/>
    </row>
    <row r="25" spans="1:12" x14ac:dyDescent="0.25">
      <c r="A25" s="80" t="s">
        <v>10</v>
      </c>
      <c r="B25" s="81"/>
      <c r="C25" s="81"/>
      <c r="D25" s="81"/>
      <c r="E25" s="81"/>
      <c r="F25" s="81"/>
      <c r="G25" s="82"/>
    </row>
    <row r="26" spans="1:12" x14ac:dyDescent="0.25">
      <c r="A26" s="83">
        <f>+'Costos e Ingresos'!C11</f>
        <v>48300</v>
      </c>
      <c r="B26" s="84"/>
      <c r="C26" s="84"/>
      <c r="D26" s="84"/>
      <c r="E26" s="84"/>
      <c r="F26" s="84"/>
      <c r="G26" s="85"/>
    </row>
    <row r="27" spans="1:12" x14ac:dyDescent="0.25">
      <c r="A27" s="80" t="s">
        <v>30</v>
      </c>
      <c r="B27" s="81"/>
      <c r="C27" s="81"/>
      <c r="D27" s="81"/>
      <c r="E27" s="81"/>
      <c r="F27" s="81"/>
      <c r="G27" s="82"/>
    </row>
    <row r="28" spans="1:12" x14ac:dyDescent="0.25">
      <c r="A28" s="97">
        <f>+'Costos e Ingresos'!C18</f>
        <v>78000</v>
      </c>
      <c r="B28" s="98"/>
      <c r="C28" s="98"/>
      <c r="D28" s="98"/>
      <c r="E28" s="98"/>
      <c r="F28" s="98"/>
      <c r="G28" s="99"/>
    </row>
    <row r="29" spans="1:12" x14ac:dyDescent="0.25">
      <c r="A29" s="86" t="s">
        <v>11</v>
      </c>
      <c r="B29" s="87"/>
      <c r="C29" s="87"/>
      <c r="D29" s="87"/>
      <c r="E29" s="87"/>
      <c r="F29" s="87"/>
      <c r="G29" s="88"/>
    </row>
    <row r="30" spans="1:12" x14ac:dyDescent="0.25">
      <c r="A30" s="89" t="s">
        <v>12</v>
      </c>
      <c r="B30" s="90"/>
      <c r="C30" s="90"/>
      <c r="D30" s="91"/>
      <c r="E30" s="6" t="s">
        <v>13</v>
      </c>
      <c r="F30" s="7" t="s">
        <v>14</v>
      </c>
      <c r="G30" s="8" t="s">
        <v>15</v>
      </c>
    </row>
    <row r="31" spans="1:12" ht="15.45" customHeight="1" x14ac:dyDescent="0.25">
      <c r="A31" s="94" t="s">
        <v>166</v>
      </c>
      <c r="B31" s="95" t="s">
        <v>166</v>
      </c>
      <c r="C31" s="95" t="s">
        <v>166</v>
      </c>
      <c r="D31" s="96" t="s">
        <v>166</v>
      </c>
      <c r="E31" s="23" t="s">
        <v>47</v>
      </c>
      <c r="F31" s="51">
        <v>46117</v>
      </c>
      <c r="G31" s="5"/>
    </row>
    <row r="32" spans="1:12" ht="15.45" customHeight="1" x14ac:dyDescent="0.25">
      <c r="A32" s="92" t="s">
        <v>167</v>
      </c>
      <c r="B32" s="60" t="s">
        <v>167</v>
      </c>
      <c r="C32" s="60" t="s">
        <v>167</v>
      </c>
      <c r="D32" s="93" t="s">
        <v>167</v>
      </c>
      <c r="E32" s="23" t="s">
        <v>49</v>
      </c>
      <c r="F32" s="51">
        <v>46127</v>
      </c>
      <c r="G32" s="50">
        <v>46152</v>
      </c>
    </row>
    <row r="33" spans="1:7" ht="15.45" customHeight="1" x14ac:dyDescent="0.25">
      <c r="A33" s="92" t="s">
        <v>168</v>
      </c>
      <c r="B33" s="60" t="s">
        <v>168</v>
      </c>
      <c r="C33" s="60" t="s">
        <v>168</v>
      </c>
      <c r="D33" s="93" t="s">
        <v>168</v>
      </c>
      <c r="E33" s="23" t="s">
        <v>50</v>
      </c>
      <c r="F33" s="51">
        <v>46132</v>
      </c>
      <c r="G33" s="2"/>
    </row>
    <row r="34" spans="1:7" ht="15.45" customHeight="1" x14ac:dyDescent="0.25">
      <c r="A34" s="92" t="s">
        <v>169</v>
      </c>
      <c r="B34" s="60" t="s">
        <v>169</v>
      </c>
      <c r="C34" s="60" t="s">
        <v>169</v>
      </c>
      <c r="D34" s="93" t="s">
        <v>169</v>
      </c>
      <c r="E34" s="23" t="s">
        <v>51</v>
      </c>
      <c r="F34" s="51">
        <v>46167</v>
      </c>
      <c r="G34" s="2"/>
    </row>
    <row r="35" spans="1:7" ht="15.45" customHeight="1" x14ac:dyDescent="0.25">
      <c r="A35" s="66" t="s">
        <v>170</v>
      </c>
      <c r="B35" s="67" t="s">
        <v>170</v>
      </c>
      <c r="C35" s="67" t="s">
        <v>170</v>
      </c>
      <c r="D35" s="68" t="s">
        <v>170</v>
      </c>
      <c r="E35" s="23" t="s">
        <v>56</v>
      </c>
      <c r="F35" s="51">
        <v>46178</v>
      </c>
      <c r="G35" s="9"/>
    </row>
    <row r="36" spans="1:7" x14ac:dyDescent="0.25">
      <c r="A36" s="62" t="s">
        <v>171</v>
      </c>
      <c r="B36" s="62"/>
      <c r="C36" s="62"/>
      <c r="D36" s="63"/>
      <c r="E36" s="46" t="s">
        <v>49</v>
      </c>
      <c r="F36" s="51">
        <v>46198</v>
      </c>
      <c r="G36" s="45"/>
    </row>
    <row r="37" spans="1:7" ht="13.95" customHeight="1" x14ac:dyDescent="0.25">
      <c r="A37" s="64" t="s">
        <v>172</v>
      </c>
      <c r="B37" s="64"/>
      <c r="C37" s="64"/>
      <c r="D37" s="65"/>
      <c r="E37" s="46" t="s">
        <v>47</v>
      </c>
      <c r="F37" s="51">
        <v>46213</v>
      </c>
    </row>
    <row r="38" spans="1:7" ht="13.95" customHeight="1" x14ac:dyDescent="0.25">
      <c r="A38" s="78" t="s">
        <v>173</v>
      </c>
      <c r="B38" s="78"/>
      <c r="C38" s="78"/>
      <c r="D38" s="79"/>
      <c r="E38" s="46" t="s">
        <v>50</v>
      </c>
      <c r="F38" s="51">
        <v>46218</v>
      </c>
    </row>
    <row r="39" spans="1:7" x14ac:dyDescent="0.25">
      <c r="A39" s="73" t="s">
        <v>16</v>
      </c>
      <c r="B39" s="73"/>
      <c r="C39" s="73"/>
      <c r="D39" s="73"/>
      <c r="E39" s="70" t="s">
        <v>17</v>
      </c>
      <c r="F39" s="71"/>
      <c r="G39" s="72"/>
    </row>
    <row r="40" spans="1:7" ht="15.75" customHeight="1" x14ac:dyDescent="0.25">
      <c r="A40" s="10" t="s">
        <v>2</v>
      </c>
      <c r="B40" s="74" t="s">
        <v>49</v>
      </c>
      <c r="C40" s="75"/>
      <c r="D40" s="76"/>
      <c r="E40" s="10" t="s">
        <v>18</v>
      </c>
      <c r="F40" s="77" t="s">
        <v>48</v>
      </c>
      <c r="G40" s="77"/>
    </row>
    <row r="41" spans="1:7" x14ac:dyDescent="0.25">
      <c r="A41" s="10" t="s">
        <v>19</v>
      </c>
      <c r="B41" s="74" t="s">
        <v>47</v>
      </c>
      <c r="C41" s="75"/>
      <c r="D41" s="76"/>
      <c r="E41" s="10" t="s">
        <v>20</v>
      </c>
      <c r="F41" s="69" t="s">
        <v>51</v>
      </c>
      <c r="G41" s="69"/>
    </row>
    <row r="42" spans="1:7" x14ac:dyDescent="0.25">
      <c r="A42" s="10" t="s">
        <v>21</v>
      </c>
      <c r="B42" s="74" t="s">
        <v>56</v>
      </c>
      <c r="C42" s="75"/>
      <c r="D42" s="76"/>
      <c r="E42" s="10" t="s">
        <v>22</v>
      </c>
      <c r="F42" s="69" t="s">
        <v>55</v>
      </c>
      <c r="G42" s="69"/>
    </row>
    <row r="43" spans="1:7" x14ac:dyDescent="0.25">
      <c r="A43" s="4"/>
      <c r="B43" s="77"/>
      <c r="C43" s="77"/>
      <c r="D43" s="77"/>
      <c r="E43" s="11"/>
      <c r="F43" s="69"/>
      <c r="G43" s="69"/>
    </row>
  </sheetData>
  <mergeCells count="64">
    <mergeCell ref="A8:G8"/>
    <mergeCell ref="A9:G9"/>
    <mergeCell ref="A6:G6"/>
    <mergeCell ref="A7:G7"/>
    <mergeCell ref="A20:D20"/>
    <mergeCell ref="A13:D13"/>
    <mergeCell ref="A14:D14"/>
    <mergeCell ref="A15:D15"/>
    <mergeCell ref="A16:D16"/>
    <mergeCell ref="A17:D17"/>
    <mergeCell ref="E13:G13"/>
    <mergeCell ref="E14:G14"/>
    <mergeCell ref="A5:G5"/>
    <mergeCell ref="E10:G10"/>
    <mergeCell ref="E11:G11"/>
    <mergeCell ref="E23:G23"/>
    <mergeCell ref="E24:G24"/>
    <mergeCell ref="A10:D10"/>
    <mergeCell ref="E12:G12"/>
    <mergeCell ref="E18:G18"/>
    <mergeCell ref="E19:G19"/>
    <mergeCell ref="A11:D11"/>
    <mergeCell ref="A12:D12"/>
    <mergeCell ref="A18:D18"/>
    <mergeCell ref="A19:D19"/>
    <mergeCell ref="A23:D23"/>
    <mergeCell ref="A24:D24"/>
    <mergeCell ref="E20:G20"/>
    <mergeCell ref="A1:G1"/>
    <mergeCell ref="B2:D2"/>
    <mergeCell ref="E2:F2"/>
    <mergeCell ref="E3:F3"/>
    <mergeCell ref="A4:G4"/>
    <mergeCell ref="A38:D38"/>
    <mergeCell ref="A25:G25"/>
    <mergeCell ref="A26:G26"/>
    <mergeCell ref="A29:G29"/>
    <mergeCell ref="A30:D30"/>
    <mergeCell ref="A34:D34"/>
    <mergeCell ref="A31:D31"/>
    <mergeCell ref="A32:D32"/>
    <mergeCell ref="A33:D33"/>
    <mergeCell ref="A27:G27"/>
    <mergeCell ref="A28:G28"/>
    <mergeCell ref="F43:G43"/>
    <mergeCell ref="E39:G39"/>
    <mergeCell ref="A39:D39"/>
    <mergeCell ref="B40:D40"/>
    <mergeCell ref="B41:D41"/>
    <mergeCell ref="B42:D42"/>
    <mergeCell ref="B43:D43"/>
    <mergeCell ref="F40:G40"/>
    <mergeCell ref="F41:G41"/>
    <mergeCell ref="F42:G42"/>
    <mergeCell ref="E15:G15"/>
    <mergeCell ref="E16:G16"/>
    <mergeCell ref="E17:G17"/>
    <mergeCell ref="A36:D36"/>
    <mergeCell ref="A37:D37"/>
    <mergeCell ref="A35:D35"/>
    <mergeCell ref="E21:G21"/>
    <mergeCell ref="E22:G22"/>
    <mergeCell ref="A21:D21"/>
    <mergeCell ref="A22:D22"/>
  </mergeCells>
  <pageMargins left="0.7" right="0.7" top="0.75" bottom="0.75" header="0.3" footer="0.3"/>
  <pageSetup paperSize="9" scale="7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DE37-89FE-49BB-87B3-52F2534756FE}">
  <dimension ref="A1:C45"/>
  <sheetViews>
    <sheetView workbookViewId="0">
      <selection activeCell="B13" sqref="B13:C17"/>
    </sheetView>
  </sheetViews>
  <sheetFormatPr baseColWidth="10" defaultRowHeight="13.2" x14ac:dyDescent="0.25"/>
  <cols>
    <col min="2" max="2" width="26.44140625" customWidth="1"/>
  </cols>
  <sheetData>
    <row r="1" spans="1:3" x14ac:dyDescent="0.25">
      <c r="A1" s="12"/>
    </row>
    <row r="2" spans="1:3" x14ac:dyDescent="0.25">
      <c r="A2" s="12"/>
    </row>
    <row r="3" spans="1:3" x14ac:dyDescent="0.25">
      <c r="A3" s="12"/>
      <c r="B3" s="47" t="s">
        <v>174</v>
      </c>
      <c r="C3" s="47" t="s">
        <v>13</v>
      </c>
    </row>
    <row r="4" spans="1:3" x14ac:dyDescent="0.25">
      <c r="A4" s="12"/>
      <c r="B4" s="48" t="s">
        <v>2</v>
      </c>
      <c r="C4" s="48" t="s">
        <v>47</v>
      </c>
    </row>
    <row r="5" spans="1:3" x14ac:dyDescent="0.25">
      <c r="A5" s="12"/>
      <c r="B5" s="48" t="s">
        <v>175</v>
      </c>
      <c r="C5" s="48" t="s">
        <v>49</v>
      </c>
    </row>
    <row r="6" spans="1:3" x14ac:dyDescent="0.25">
      <c r="A6" s="12"/>
      <c r="B6" s="48" t="s">
        <v>176</v>
      </c>
      <c r="C6" s="48" t="s">
        <v>51</v>
      </c>
    </row>
    <row r="7" spans="1:3" x14ac:dyDescent="0.25">
      <c r="A7" s="12"/>
      <c r="B7" s="48" t="s">
        <v>177</v>
      </c>
      <c r="C7" s="48" t="s">
        <v>50</v>
      </c>
    </row>
    <row r="8" spans="1:3" x14ac:dyDescent="0.25">
      <c r="A8" s="12"/>
      <c r="B8" s="48" t="s">
        <v>178</v>
      </c>
      <c r="C8" s="48" t="s">
        <v>56</v>
      </c>
    </row>
    <row r="9" spans="1:3" x14ac:dyDescent="0.25">
      <c r="A9" s="12"/>
    </row>
    <row r="10" spans="1:3" x14ac:dyDescent="0.25">
      <c r="A10" s="12"/>
    </row>
    <row r="13" spans="1:3" x14ac:dyDescent="0.25">
      <c r="B13" s="47" t="s">
        <v>179</v>
      </c>
      <c r="C13" s="47" t="s">
        <v>13</v>
      </c>
    </row>
    <row r="14" spans="1:3" ht="39.6" x14ac:dyDescent="0.25">
      <c r="B14" s="48" t="s">
        <v>180</v>
      </c>
      <c r="C14" s="48" t="s">
        <v>181</v>
      </c>
    </row>
    <row r="15" spans="1:3" x14ac:dyDescent="0.25">
      <c r="B15" s="48" t="s">
        <v>182</v>
      </c>
      <c r="C15" s="48" t="s">
        <v>51</v>
      </c>
    </row>
    <row r="16" spans="1:3" x14ac:dyDescent="0.25">
      <c r="B16" s="48" t="s">
        <v>183</v>
      </c>
      <c r="C16" s="48" t="s">
        <v>49</v>
      </c>
    </row>
    <row r="17" spans="1:3" x14ac:dyDescent="0.25">
      <c r="B17" s="48" t="s">
        <v>2</v>
      </c>
      <c r="C17" s="48" t="s">
        <v>47</v>
      </c>
    </row>
    <row r="18" spans="1:3" x14ac:dyDescent="0.25">
      <c r="A18" s="12"/>
    </row>
    <row r="19" spans="1:3" x14ac:dyDescent="0.25">
      <c r="A19" s="12"/>
    </row>
    <row r="20" spans="1:3" x14ac:dyDescent="0.25">
      <c r="A20" s="12"/>
    </row>
    <row r="21" spans="1:3" x14ac:dyDescent="0.25">
      <c r="A21" s="12"/>
    </row>
    <row r="22" spans="1:3" x14ac:dyDescent="0.25">
      <c r="A22" s="12"/>
    </row>
    <row r="23" spans="1:3" x14ac:dyDescent="0.25">
      <c r="A23" s="12"/>
    </row>
    <row r="24" spans="1:3" x14ac:dyDescent="0.25">
      <c r="A24" s="12"/>
    </row>
    <row r="25" spans="1:3" x14ac:dyDescent="0.25">
      <c r="A25" s="12"/>
    </row>
    <row r="26" spans="1:3" x14ac:dyDescent="0.25">
      <c r="A26" s="12"/>
    </row>
    <row r="27" spans="1:3" x14ac:dyDescent="0.25">
      <c r="A27" s="12"/>
    </row>
    <row r="28" spans="1:3" x14ac:dyDescent="0.25">
      <c r="A28" s="12"/>
    </row>
    <row r="29" spans="1:3" x14ac:dyDescent="0.25">
      <c r="A29" s="12"/>
    </row>
    <row r="37" spans="1:3" x14ac:dyDescent="0.25">
      <c r="A37" s="47"/>
      <c r="B37" s="47"/>
      <c r="C37" s="47"/>
    </row>
    <row r="38" spans="1:3" x14ac:dyDescent="0.25">
      <c r="A38" s="48"/>
      <c r="B38" s="48"/>
      <c r="C38" s="49"/>
    </row>
    <row r="39" spans="1:3" x14ac:dyDescent="0.25">
      <c r="A39" s="48"/>
      <c r="B39" s="48"/>
      <c r="C39" s="49"/>
    </row>
    <row r="40" spans="1:3" x14ac:dyDescent="0.25">
      <c r="A40" s="48"/>
      <c r="B40" s="48"/>
      <c r="C40" s="49"/>
    </row>
    <row r="41" spans="1:3" x14ac:dyDescent="0.25">
      <c r="A41" s="48"/>
      <c r="B41" s="48"/>
      <c r="C41" s="49"/>
    </row>
    <row r="42" spans="1:3" x14ac:dyDescent="0.25">
      <c r="A42" s="48"/>
      <c r="B42" s="48"/>
      <c r="C42" s="49"/>
    </row>
    <row r="43" spans="1:3" x14ac:dyDescent="0.25">
      <c r="A43" s="48"/>
      <c r="B43" s="48"/>
      <c r="C43" s="49"/>
    </row>
    <row r="44" spans="1:3" x14ac:dyDescent="0.25">
      <c r="A44" s="48"/>
      <c r="B44" s="48"/>
      <c r="C44" s="49"/>
    </row>
    <row r="45" spans="1:3" x14ac:dyDescent="0.25">
      <c r="A45" s="48"/>
      <c r="B45" s="48"/>
      <c r="C45" s="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9A41-386C-44EC-823F-675BA394C454}">
  <dimension ref="B4:N47"/>
  <sheetViews>
    <sheetView zoomScaleNormal="100" workbookViewId="0">
      <selection activeCell="I39" sqref="I39"/>
    </sheetView>
  </sheetViews>
  <sheetFormatPr baseColWidth="10" defaultColWidth="11.21875" defaultRowHeight="13.2" x14ac:dyDescent="0.25"/>
  <cols>
    <col min="1" max="1" width="11.21875" style="12"/>
    <col min="2" max="2" width="49" style="12" customWidth="1"/>
    <col min="3" max="14" width="18.44140625" style="12" bestFit="1" customWidth="1"/>
    <col min="15" max="16384" width="11.21875" style="12"/>
  </cols>
  <sheetData>
    <row r="4" spans="2:3" ht="13.8" thickBot="1" x14ac:dyDescent="0.3"/>
    <row r="5" spans="2:3" ht="62.1" customHeight="1" thickBot="1" x14ac:dyDescent="0.3">
      <c r="B5" s="55" t="s">
        <v>26</v>
      </c>
      <c r="C5" s="56"/>
    </row>
    <row r="6" spans="2:3" ht="16.2" thickBot="1" x14ac:dyDescent="0.3">
      <c r="B6" s="13" t="s">
        <v>27</v>
      </c>
      <c r="C6" s="14" t="s">
        <v>28</v>
      </c>
    </row>
    <row r="7" spans="2:3" x14ac:dyDescent="0.25">
      <c r="B7" s="15" t="s">
        <v>57</v>
      </c>
      <c r="C7" s="27">
        <v>30000</v>
      </c>
    </row>
    <row r="8" spans="2:3" x14ac:dyDescent="0.25">
      <c r="B8" s="15" t="s">
        <v>58</v>
      </c>
      <c r="C8" s="27">
        <v>6000</v>
      </c>
    </row>
    <row r="9" spans="2:3" x14ac:dyDescent="0.25">
      <c r="B9" s="16" t="s">
        <v>52</v>
      </c>
      <c r="C9" s="27">
        <v>4100</v>
      </c>
    </row>
    <row r="10" spans="2:3" x14ac:dyDescent="0.25">
      <c r="B10" s="16" t="s">
        <v>59</v>
      </c>
      <c r="C10" s="27">
        <v>8200</v>
      </c>
    </row>
    <row r="11" spans="2:3" ht="16.2" thickBot="1" x14ac:dyDescent="0.3">
      <c r="B11" s="17" t="s">
        <v>29</v>
      </c>
      <c r="C11" s="28">
        <f>+SUM(C7:C10)</f>
        <v>48300</v>
      </c>
    </row>
    <row r="13" spans="2:3" ht="13.8" thickBot="1" x14ac:dyDescent="0.3"/>
    <row r="14" spans="2:3" ht="27" customHeight="1" thickBot="1" x14ac:dyDescent="0.3">
      <c r="B14" s="57" t="s">
        <v>31</v>
      </c>
      <c r="C14" s="58"/>
    </row>
    <row r="15" spans="2:3" ht="16.2" thickBot="1" x14ac:dyDescent="0.3">
      <c r="B15" s="13" t="s">
        <v>27</v>
      </c>
      <c r="C15" s="14" t="s">
        <v>28</v>
      </c>
    </row>
    <row r="16" spans="2:3" x14ac:dyDescent="0.25">
      <c r="B16" s="15" t="s">
        <v>53</v>
      </c>
      <c r="C16" s="27">
        <v>24000</v>
      </c>
    </row>
    <row r="17" spans="2:14" x14ac:dyDescent="0.25">
      <c r="B17" s="15" t="s">
        <v>60</v>
      </c>
      <c r="C17" s="27">
        <v>54000</v>
      </c>
    </row>
    <row r="18" spans="2:14" ht="16.2" thickBot="1" x14ac:dyDescent="0.3">
      <c r="B18" s="17" t="s">
        <v>29</v>
      </c>
      <c r="C18" s="28">
        <f>+SUM(C16:C17)</f>
        <v>78000</v>
      </c>
    </row>
    <row r="20" spans="2:14" ht="15.6" x14ac:dyDescent="0.25">
      <c r="B20" s="25" t="s">
        <v>27</v>
      </c>
      <c r="C20" s="26" t="s">
        <v>32</v>
      </c>
      <c r="D20" s="26" t="s">
        <v>33</v>
      </c>
      <c r="E20" s="26" t="s">
        <v>34</v>
      </c>
      <c r="F20" s="26" t="s">
        <v>35</v>
      </c>
      <c r="G20" s="26" t="s">
        <v>36</v>
      </c>
      <c r="H20" s="26" t="s">
        <v>37</v>
      </c>
      <c r="I20" s="26" t="s">
        <v>38</v>
      </c>
      <c r="J20" s="26" t="s">
        <v>39</v>
      </c>
      <c r="K20" s="26" t="s">
        <v>40</v>
      </c>
      <c r="L20" s="26" t="s">
        <v>41</v>
      </c>
      <c r="M20" s="26" t="s">
        <v>42</v>
      </c>
      <c r="N20" s="26" t="s">
        <v>43</v>
      </c>
    </row>
    <row r="21" spans="2:14" x14ac:dyDescent="0.25">
      <c r="B21" s="38" t="s">
        <v>53</v>
      </c>
      <c r="C21" s="29">
        <v>0</v>
      </c>
      <c r="D21" s="29">
        <v>500</v>
      </c>
      <c r="E21" s="29">
        <v>1000</v>
      </c>
      <c r="F21" s="29">
        <v>1400</v>
      </c>
      <c r="G21" s="29">
        <v>1600</v>
      </c>
      <c r="H21" s="29">
        <v>1800</v>
      </c>
      <c r="I21" s="29">
        <v>2000</v>
      </c>
      <c r="J21" s="29">
        <v>2000</v>
      </c>
      <c r="K21" s="29">
        <v>2000</v>
      </c>
      <c r="L21" s="29">
        <v>2000</v>
      </c>
      <c r="M21" s="29">
        <v>2000</v>
      </c>
      <c r="N21" s="29">
        <v>2000</v>
      </c>
    </row>
    <row r="22" spans="2:14" x14ac:dyDescent="0.25">
      <c r="B22" s="38" t="s">
        <v>60</v>
      </c>
      <c r="C22" s="29">
        <v>0</v>
      </c>
      <c r="D22" s="29">
        <v>1125</v>
      </c>
      <c r="E22" s="29">
        <v>2250</v>
      </c>
      <c r="F22" s="29">
        <v>3150</v>
      </c>
      <c r="G22" s="29">
        <v>3600</v>
      </c>
      <c r="H22" s="29">
        <v>4050</v>
      </c>
      <c r="I22" s="29">
        <v>4500</v>
      </c>
      <c r="J22" s="29">
        <v>4500</v>
      </c>
      <c r="K22" s="29">
        <v>4500</v>
      </c>
      <c r="L22" s="29">
        <v>4500</v>
      </c>
      <c r="M22" s="29">
        <v>4500</v>
      </c>
      <c r="N22" s="29">
        <v>4500</v>
      </c>
    </row>
    <row r="23" spans="2:14" x14ac:dyDescent="0.25">
      <c r="B23" s="18" t="s">
        <v>44</v>
      </c>
      <c r="C23" s="30">
        <f t="shared" ref="C23:N23" si="0">SUM(C21:C22)</f>
        <v>0</v>
      </c>
      <c r="D23" s="30">
        <f t="shared" si="0"/>
        <v>1625</v>
      </c>
      <c r="E23" s="30">
        <f t="shared" si="0"/>
        <v>3250</v>
      </c>
      <c r="F23" s="30">
        <f t="shared" si="0"/>
        <v>4550</v>
      </c>
      <c r="G23" s="30">
        <f t="shared" si="0"/>
        <v>5200</v>
      </c>
      <c r="H23" s="30">
        <f t="shared" si="0"/>
        <v>5850</v>
      </c>
      <c r="I23" s="30">
        <f t="shared" si="0"/>
        <v>6500</v>
      </c>
      <c r="J23" s="30">
        <f t="shared" si="0"/>
        <v>6500</v>
      </c>
      <c r="K23" s="30">
        <f t="shared" si="0"/>
        <v>6500</v>
      </c>
      <c r="L23" s="30">
        <f t="shared" si="0"/>
        <v>6500</v>
      </c>
      <c r="M23" s="30">
        <f t="shared" si="0"/>
        <v>6500</v>
      </c>
      <c r="N23" s="30">
        <f t="shared" si="0"/>
        <v>6500</v>
      </c>
    </row>
    <row r="25" spans="2:14" ht="15.6" x14ac:dyDescent="0.25">
      <c r="B25" s="19" t="s">
        <v>45</v>
      </c>
      <c r="C25" s="20">
        <f>C18-C11</f>
        <v>29700</v>
      </c>
    </row>
    <row r="27" spans="2:14" ht="15.6" x14ac:dyDescent="0.25">
      <c r="B27" s="19" t="s">
        <v>46</v>
      </c>
      <c r="C27" s="31">
        <f>C25/C11</f>
        <v>0.6149068322981367</v>
      </c>
    </row>
    <row r="40" spans="3:4" x14ac:dyDescent="0.25">
      <c r="C40" s="47" t="s">
        <v>184</v>
      </c>
      <c r="D40" s="47" t="s">
        <v>185</v>
      </c>
    </row>
    <row r="41" spans="3:4" x14ac:dyDescent="0.25">
      <c r="C41" s="48" t="s">
        <v>186</v>
      </c>
      <c r="D41" s="52">
        <v>28000</v>
      </c>
    </row>
    <row r="42" spans="3:4" ht="26.4" x14ac:dyDescent="0.25">
      <c r="C42" s="48" t="s">
        <v>187</v>
      </c>
      <c r="D42" s="52">
        <v>5500</v>
      </c>
    </row>
    <row r="43" spans="3:4" x14ac:dyDescent="0.25">
      <c r="C43" s="48" t="s">
        <v>188</v>
      </c>
      <c r="D43" s="52">
        <v>4000</v>
      </c>
    </row>
    <row r="44" spans="3:4" ht="26.4" x14ac:dyDescent="0.25">
      <c r="C44" s="48" t="s">
        <v>189</v>
      </c>
      <c r="D44" s="52">
        <v>3800</v>
      </c>
    </row>
    <row r="45" spans="3:4" x14ac:dyDescent="0.25">
      <c r="C45" s="48" t="s">
        <v>190</v>
      </c>
      <c r="D45" s="52">
        <v>3000</v>
      </c>
    </row>
    <row r="46" spans="3:4" ht="26.4" x14ac:dyDescent="0.25">
      <c r="C46" s="48" t="s">
        <v>191</v>
      </c>
      <c r="D46" s="52">
        <v>4000</v>
      </c>
    </row>
    <row r="47" spans="3:4" x14ac:dyDescent="0.25">
      <c r="C47" s="53" t="s">
        <v>192</v>
      </c>
      <c r="D47" s="54">
        <v>48300</v>
      </c>
    </row>
  </sheetData>
  <mergeCells count="2">
    <mergeCell ref="B5:C5"/>
    <mergeCell ref="B14:C14"/>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E9D2-04A1-4838-864F-6DFA049BE10C}">
  <dimension ref="B2:E40"/>
  <sheetViews>
    <sheetView topLeftCell="A29" workbookViewId="0">
      <selection activeCell="A23" sqref="A23:XFD23"/>
    </sheetView>
  </sheetViews>
  <sheetFormatPr baseColWidth="10" defaultRowHeight="13.2" x14ac:dyDescent="0.25"/>
  <cols>
    <col min="2" max="2" width="77.21875" bestFit="1" customWidth="1"/>
    <col min="3" max="3" width="45.77734375" bestFit="1" customWidth="1"/>
    <col min="4" max="4" width="32.6640625" bestFit="1" customWidth="1"/>
    <col min="5" max="5" width="14.33203125" bestFit="1" customWidth="1"/>
  </cols>
  <sheetData>
    <row r="2" spans="2:4" ht="15.6" x14ac:dyDescent="0.25">
      <c r="B2" s="32" t="s">
        <v>27</v>
      </c>
      <c r="C2" s="32" t="s">
        <v>90</v>
      </c>
      <c r="D2" s="32" t="s">
        <v>29</v>
      </c>
    </row>
    <row r="3" spans="2:4" ht="15" x14ac:dyDescent="0.25">
      <c r="B3" s="33" t="s">
        <v>91</v>
      </c>
      <c r="C3" s="24"/>
      <c r="D3" s="24"/>
    </row>
    <row r="4" spans="2:4" ht="15" x14ac:dyDescent="0.25">
      <c r="B4" s="24" t="s">
        <v>92</v>
      </c>
      <c r="C4" s="24" t="s">
        <v>93</v>
      </c>
      <c r="D4" s="24"/>
    </row>
    <row r="5" spans="2:4" ht="15" x14ac:dyDescent="0.25">
      <c r="B5" s="37" t="s">
        <v>94</v>
      </c>
      <c r="C5" s="24" t="s">
        <v>95</v>
      </c>
      <c r="D5" s="24"/>
    </row>
    <row r="6" spans="2:4" ht="15" x14ac:dyDescent="0.25">
      <c r="B6" s="24" t="s">
        <v>96</v>
      </c>
      <c r="C6" s="24" t="s">
        <v>97</v>
      </c>
      <c r="D6" s="33" t="s">
        <v>98</v>
      </c>
    </row>
    <row r="7" spans="2:4" ht="15" x14ac:dyDescent="0.25">
      <c r="B7" s="33" t="s">
        <v>99</v>
      </c>
      <c r="C7" s="24"/>
      <c r="D7" s="24"/>
    </row>
    <row r="8" spans="2:4" ht="15" x14ac:dyDescent="0.25">
      <c r="B8" s="24" t="s">
        <v>100</v>
      </c>
      <c r="C8" s="24" t="s">
        <v>101</v>
      </c>
      <c r="D8" s="33" t="s">
        <v>101</v>
      </c>
    </row>
    <row r="9" spans="2:4" ht="15" x14ac:dyDescent="0.25">
      <c r="B9" s="33" t="s">
        <v>102</v>
      </c>
      <c r="C9" s="24"/>
      <c r="D9" s="24"/>
    </row>
    <row r="10" spans="2:4" ht="15" x14ac:dyDescent="0.25">
      <c r="B10" s="24" t="s">
        <v>103</v>
      </c>
      <c r="C10" s="24" t="s">
        <v>104</v>
      </c>
      <c r="D10" s="24"/>
    </row>
    <row r="11" spans="2:4" ht="15" x14ac:dyDescent="0.25">
      <c r="B11" s="24" t="s">
        <v>105</v>
      </c>
      <c r="C11" s="24" t="s">
        <v>106</v>
      </c>
      <c r="D11" s="33" t="s">
        <v>107</v>
      </c>
    </row>
    <row r="12" spans="2:4" ht="15" x14ac:dyDescent="0.25">
      <c r="B12" s="33" t="s">
        <v>108</v>
      </c>
      <c r="C12" s="24"/>
      <c r="D12" s="24"/>
    </row>
    <row r="13" spans="2:4" ht="15" x14ac:dyDescent="0.25">
      <c r="B13" s="37" t="s">
        <v>109</v>
      </c>
      <c r="C13" s="24" t="s">
        <v>110</v>
      </c>
      <c r="D13" s="24"/>
    </row>
    <row r="14" spans="2:4" ht="15" x14ac:dyDescent="0.25">
      <c r="B14" s="37" t="s">
        <v>111</v>
      </c>
      <c r="C14" s="24" t="s">
        <v>112</v>
      </c>
      <c r="D14" s="33" t="s">
        <v>113</v>
      </c>
    </row>
    <row r="15" spans="2:4" ht="15" x14ac:dyDescent="0.25">
      <c r="B15" s="33" t="s">
        <v>114</v>
      </c>
      <c r="C15" s="24"/>
      <c r="D15" s="33" t="s">
        <v>115</v>
      </c>
    </row>
    <row r="18" spans="2:5" ht="15.6" x14ac:dyDescent="0.25">
      <c r="B18" s="34" t="s">
        <v>27</v>
      </c>
      <c r="C18" s="34" t="s">
        <v>61</v>
      </c>
      <c r="D18" s="34" t="s">
        <v>62</v>
      </c>
      <c r="E18" s="34" t="s">
        <v>63</v>
      </c>
    </row>
    <row r="19" spans="2:5" ht="15" x14ac:dyDescent="0.25">
      <c r="B19" s="35" t="s">
        <v>53</v>
      </c>
      <c r="C19" s="36"/>
      <c r="D19" s="36"/>
      <c r="E19" s="36"/>
    </row>
    <row r="20" spans="2:5" ht="15" x14ac:dyDescent="0.25">
      <c r="B20" s="36" t="s">
        <v>64</v>
      </c>
      <c r="C20" s="36" t="s">
        <v>65</v>
      </c>
      <c r="D20" s="36" t="s">
        <v>66</v>
      </c>
      <c r="E20" s="36" t="s">
        <v>67</v>
      </c>
    </row>
    <row r="21" spans="2:5" ht="15" x14ac:dyDescent="0.25">
      <c r="B21" s="36" t="s">
        <v>68</v>
      </c>
      <c r="C21" s="36" t="s">
        <v>69</v>
      </c>
      <c r="D21" s="36" t="s">
        <v>70</v>
      </c>
      <c r="E21" s="36" t="s">
        <v>71</v>
      </c>
    </row>
    <row r="22" spans="2:5" ht="15" x14ac:dyDescent="0.25">
      <c r="B22" s="36" t="s">
        <v>72</v>
      </c>
      <c r="C22" s="36" t="s">
        <v>73</v>
      </c>
      <c r="D22" s="36" t="s">
        <v>74</v>
      </c>
      <c r="E22" s="36" t="s">
        <v>75</v>
      </c>
    </row>
    <row r="23" spans="2:5" ht="15" x14ac:dyDescent="0.25">
      <c r="B23" s="35" t="s">
        <v>76</v>
      </c>
      <c r="C23" s="36"/>
      <c r="D23" s="35" t="s">
        <v>77</v>
      </c>
      <c r="E23" s="35" t="s">
        <v>78</v>
      </c>
    </row>
    <row r="24" spans="2:5" ht="15" x14ac:dyDescent="0.25">
      <c r="B24" s="35" t="s">
        <v>60</v>
      </c>
      <c r="C24" s="36"/>
      <c r="D24" s="36"/>
      <c r="E24" s="36"/>
    </row>
    <row r="25" spans="2:5" ht="15" x14ac:dyDescent="0.25">
      <c r="B25" s="36" t="s">
        <v>79</v>
      </c>
      <c r="C25" s="36" t="s">
        <v>80</v>
      </c>
      <c r="D25" s="36"/>
      <c r="E25" s="36"/>
    </row>
    <row r="26" spans="2:5" ht="15" x14ac:dyDescent="0.25">
      <c r="B26" s="36" t="s">
        <v>81</v>
      </c>
      <c r="C26" s="36" t="s">
        <v>82</v>
      </c>
      <c r="D26" s="36"/>
      <c r="E26" s="36"/>
    </row>
    <row r="27" spans="2:5" ht="15" x14ac:dyDescent="0.25">
      <c r="B27" s="36" t="s">
        <v>83</v>
      </c>
      <c r="C27" s="36" t="s">
        <v>84</v>
      </c>
      <c r="D27" s="36" t="s">
        <v>85</v>
      </c>
      <c r="E27" s="36" t="s">
        <v>86</v>
      </c>
    </row>
    <row r="28" spans="2:5" ht="15" x14ac:dyDescent="0.25">
      <c r="B28" s="35" t="s">
        <v>87</v>
      </c>
      <c r="C28" s="36"/>
      <c r="D28" s="35" t="s">
        <v>85</v>
      </c>
      <c r="E28" s="35" t="s">
        <v>86</v>
      </c>
    </row>
    <row r="29" spans="2:5" ht="15" x14ac:dyDescent="0.25">
      <c r="B29" s="35" t="s">
        <v>88</v>
      </c>
      <c r="C29" s="36"/>
      <c r="D29" s="36"/>
      <c r="E29" s="35" t="s">
        <v>89</v>
      </c>
    </row>
    <row r="32" spans="2:5" ht="17.399999999999999" x14ac:dyDescent="0.25">
      <c r="B32" s="39" t="s">
        <v>123</v>
      </c>
    </row>
    <row r="33" spans="2:2" x14ac:dyDescent="0.25">
      <c r="B33" s="40"/>
    </row>
    <row r="34" spans="2:2" ht="15" x14ac:dyDescent="0.25">
      <c r="B34" s="41" t="s">
        <v>116</v>
      </c>
    </row>
    <row r="35" spans="2:2" ht="15" x14ac:dyDescent="0.25">
      <c r="B35" s="41" t="s">
        <v>117</v>
      </c>
    </row>
    <row r="36" spans="2:2" ht="15" x14ac:dyDescent="0.25">
      <c r="B36" s="41" t="s">
        <v>118</v>
      </c>
    </row>
    <row r="37" spans="2:2" ht="15" x14ac:dyDescent="0.25">
      <c r="B37" s="41" t="s">
        <v>119</v>
      </c>
    </row>
    <row r="38" spans="2:2" ht="15" x14ac:dyDescent="0.25">
      <c r="B38" s="41" t="s">
        <v>120</v>
      </c>
    </row>
    <row r="39" spans="2:2" ht="15" x14ac:dyDescent="0.25">
      <c r="B39" s="41" t="s">
        <v>121</v>
      </c>
    </row>
    <row r="40" spans="2:2" ht="15" x14ac:dyDescent="0.25">
      <c r="B40" s="41"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536AE9F69D6341B31BC3E7010D92CE" ma:contentTypeVersion="18" ma:contentTypeDescription="Create a new document." ma:contentTypeScope="" ma:versionID="eee22b38a2dd5ff56baab66018fddde5">
  <xsd:schema xmlns:xsd="http://www.w3.org/2001/XMLSchema" xmlns:xs="http://www.w3.org/2001/XMLSchema" xmlns:p="http://schemas.microsoft.com/office/2006/metadata/properties" xmlns:ns3="9cbb9128-3ede-40f2-8809-fb9f84a53a37" xmlns:ns4="425669cf-8e09-4c75-992d-8e7126bbdb01" targetNamespace="http://schemas.microsoft.com/office/2006/metadata/properties" ma:root="true" ma:fieldsID="845d42d80740d2aff60b1407fc455fae" ns3:_="" ns4:_="">
    <xsd:import namespace="9cbb9128-3ede-40f2-8809-fb9f84a53a37"/>
    <xsd:import namespace="425669cf-8e09-4c75-992d-8e7126bbdb0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bb9128-3ede-40f2-8809-fb9f84a53a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5669cf-8e09-4c75-992d-8e7126bbdb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cbb9128-3ede-40f2-8809-fb9f84a53a37" xsi:nil="true"/>
  </documentManagement>
</p:properties>
</file>

<file path=customXml/itemProps1.xml><?xml version="1.0" encoding="utf-8"?>
<ds:datastoreItem xmlns:ds="http://schemas.openxmlformats.org/officeDocument/2006/customXml" ds:itemID="{B18D3102-950D-47D5-89FE-31B2D62A9B66}">
  <ds:schemaRefs>
    <ds:schemaRef ds:uri="http://schemas.microsoft.com/office/2006/metadata/contentType"/>
    <ds:schemaRef ds:uri="http://schemas.microsoft.com/office/2006/metadata/properties/metaAttributes"/>
    <ds:schemaRef ds:uri="http://www.w3.org/2000/xmlns/"/>
    <ds:schemaRef ds:uri="http://www.w3.org/2001/XMLSchema"/>
    <ds:schemaRef ds:uri="9cbb9128-3ede-40f2-8809-fb9f84a53a37"/>
    <ds:schemaRef ds:uri="425669cf-8e09-4c75-992d-8e7126bbdb0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86B647-6778-4957-9BDA-3CD60EE8511A}">
  <ds:schemaRefs>
    <ds:schemaRef ds:uri="http://schemas.microsoft.com/sharepoint/v3/contenttype/forms"/>
  </ds:schemaRefs>
</ds:datastoreItem>
</file>

<file path=customXml/itemProps3.xml><?xml version="1.0" encoding="utf-8"?>
<ds:datastoreItem xmlns:ds="http://schemas.openxmlformats.org/officeDocument/2006/customXml" ds:itemID="{4B3AAA52-D7FF-494E-9F50-6A8C645418C8}">
  <ds:schemaRefs>
    <ds:schemaRef ds:uri="http://schemas.microsoft.com/office/2006/metadata/properties"/>
    <ds:schemaRef ds:uri="http://www.w3.org/2000/xmlns/"/>
    <ds:schemaRef ds:uri="9cbb9128-3ede-40f2-8809-fb9f84a53a37"/>
    <ds:schemaRef ds:uri="http://www.w3.org/2001/XMLSchema-instan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Table 1</vt:lpstr>
      <vt:lpstr>Hoja1</vt:lpstr>
      <vt:lpstr>Costos e Ingresos</vt:lpstr>
      <vt:lpstr>Descripcion Costos e Ingresos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Online2PDF.com</dc:creator>
  <cp:keywords/>
  <dc:description/>
  <cp:lastModifiedBy>aitza napa</cp:lastModifiedBy>
  <cp:revision/>
  <cp:lastPrinted>2026-04-07T16:46:56Z</cp:lastPrinted>
  <dcterms:created xsi:type="dcterms:W3CDTF">2021-06-02T10:50:01Z</dcterms:created>
  <dcterms:modified xsi:type="dcterms:W3CDTF">2026-06-06T03:22:23Z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c5c17fe7-c372-47b8-925e-1c78aad1f68d</vt:lpwstr>
  </property>
  <property fmtid="{D5CDD505-2E9C-101B-9397-08002B2CF9AE}" pid="3" name="ContentTypeId">
    <vt:lpwstr>0x01010071536AE9F69D6341B31BC3E7010D92CE</vt:lpwstr>
  </property>
</Properties>
</file>